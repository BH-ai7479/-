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are MV 비교" sheetId="1" state="visible" r:id="rId1"/>
  </sheets>
  <definedNames>
    <definedName name="_xlnm._FilterDatabase" localSheetId="0" hidden="1">'Health Care MV 비교'!$A$1:$G$510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8" customWidth="1" min="4" max="4"/>
    <col width="16" customWidth="1" min="5" max="5"/>
    <col width="12" customWidth="1" min="6" max="6"/>
    <col width="20" customWidth="1" min="7" max="7"/>
  </cols>
  <sheetData>
    <row r="1" ht="32" customHeight="1">
      <c r="A1" s="1" t="inlineStr">
        <is>
          <t>Ticker</t>
        </is>
      </c>
      <c r="B1" s="1" t="inlineStr">
        <is>
          <t>종목명</t>
        </is>
      </c>
      <c r="C1" s="1" t="inlineStr">
        <is>
          <t>Market Value 1/1 (2025.12.31 기준)</t>
        </is>
      </c>
      <c r="D1" s="1" t="inlineStr">
        <is>
          <t>Market Value 9/30</t>
        </is>
      </c>
      <c r="E1" s="1" t="inlineStr">
        <is>
          <t>증감액</t>
        </is>
      </c>
      <c r="F1" s="1" t="inlineStr">
        <is>
          <t>증감률(%)</t>
        </is>
      </c>
      <c r="G1" s="1" t="inlineStr">
        <is>
          <t>비고</t>
        </is>
      </c>
    </row>
    <row r="2">
      <c r="A2" t="inlineStr">
        <is>
          <t>TWST</t>
        </is>
      </c>
      <c r="B2" t="inlineStr">
        <is>
          <t>TWIST BIOSCIENCE</t>
        </is>
      </c>
      <c r="C2" s="2" t="n">
        <v>47914899.76</v>
      </c>
      <c r="D2" s="2" t="n">
        <v>331246983.76</v>
      </c>
      <c r="E2" s="2">
        <f>N(D2)-N(C2)</f>
        <v/>
      </c>
      <c r="F2" s="3">
        <f>IF(N(C2)=0,"n/a",E2/C2)</f>
        <v/>
      </c>
      <c r="G2" t="inlineStr"/>
    </row>
    <row r="3">
      <c r="A3" t="inlineStr">
        <is>
          <t>TXG</t>
        </is>
      </c>
      <c r="B3" t="inlineStr">
        <is>
          <t>10X GENOMICS CLASS A</t>
        </is>
      </c>
      <c r="C3" s="2" t="n">
        <v>45453539.81</v>
      </c>
      <c r="D3" s="2" t="n">
        <v>274028356.44</v>
      </c>
      <c r="E3" s="2">
        <f>N(D3)-N(C3)</f>
        <v/>
      </c>
      <c r="F3" s="3">
        <f>IF(N(C3)=0,"n/a",E3/C3)</f>
        <v/>
      </c>
      <c r="G3" t="inlineStr"/>
    </row>
    <row r="4">
      <c r="A4" t="inlineStr">
        <is>
          <t>BTSG</t>
        </is>
      </c>
      <c r="B4" t="inlineStr">
        <is>
          <t>BRIGHTSPRING HEALTH SERVICES INC</t>
        </is>
      </c>
      <c r="C4" s="2" t="n">
        <v>105581773.85</v>
      </c>
      <c r="D4" s="2" t="n">
        <v>247722830</v>
      </c>
      <c r="E4" s="2">
        <f>N(D4)-N(C4)</f>
        <v/>
      </c>
      <c r="F4" s="3">
        <f>IF(N(C4)=0,"n/a",E4/C4)</f>
        <v/>
      </c>
      <c r="G4" t="inlineStr"/>
    </row>
    <row r="5">
      <c r="A5" t="inlineStr">
        <is>
          <t>IOVA</t>
        </is>
      </c>
      <c r="B5" t="inlineStr">
        <is>
          <t>IOVANCE BIOTHERAPEUTICS INC</t>
        </is>
      </c>
      <c r="C5" s="2" t="n">
        <v>21026716.62</v>
      </c>
      <c r="D5" s="2" t="n">
        <v>152523468.24</v>
      </c>
      <c r="E5" s="2">
        <f>N(D5)-N(C5)</f>
        <v/>
      </c>
      <c r="F5" s="3">
        <f>IF(N(C5)=0,"n/a",E5/C5)</f>
        <v/>
      </c>
      <c r="G5" t="inlineStr"/>
    </row>
    <row r="6">
      <c r="A6" t="inlineStr">
        <is>
          <t>DFTX</t>
        </is>
      </c>
      <c r="B6" t="inlineStr">
        <is>
          <t>DEFINIUM THERAPEUTICS INC</t>
        </is>
      </c>
      <c r="C6" s="2" t="n"/>
      <c r="D6" s="2" t="n">
        <v>123437447.98</v>
      </c>
      <c r="E6" s="2">
        <f>N(D6)-N(C6)</f>
        <v/>
      </c>
      <c r="F6" s="3">
        <f>IF(N(C6)=0,"n/a",E6/C6)</f>
        <v/>
      </c>
      <c r="G6" t="inlineStr">
        <is>
          <t>신규(9/30에만 존재)</t>
        </is>
      </c>
    </row>
    <row r="7">
      <c r="A7" t="inlineStr">
        <is>
          <t>SYRE</t>
        </is>
      </c>
      <c r="B7" t="inlineStr">
        <is>
          <t>SPYRE THERAPEUTICS INC</t>
        </is>
      </c>
      <c r="C7" s="2" t="n">
        <v>56799288</v>
      </c>
      <c r="D7" s="2" t="n">
        <v>176485059.3</v>
      </c>
      <c r="E7" s="2">
        <f>N(D7)-N(C7)</f>
        <v/>
      </c>
      <c r="F7" s="3">
        <f>IF(N(C7)=0,"n/a",E7/C7)</f>
        <v/>
      </c>
      <c r="G7" t="inlineStr"/>
    </row>
    <row r="8">
      <c r="A8" t="inlineStr">
        <is>
          <t>HNGE</t>
        </is>
      </c>
      <c r="B8" t="inlineStr">
        <is>
          <t>HINGE HEALTH CLASS A</t>
        </is>
      </c>
      <c r="C8" s="2" t="n"/>
      <c r="D8" s="2" t="n">
        <v>112006574.68</v>
      </c>
      <c r="E8" s="2">
        <f>N(D8)-N(C8)</f>
        <v/>
      </c>
      <c r="F8" s="3">
        <f>IF(N(C8)=0,"n/a",E8/C8)</f>
        <v/>
      </c>
      <c r="G8" t="inlineStr">
        <is>
          <t>신규(9/30에만 존재)</t>
        </is>
      </c>
    </row>
    <row r="9">
      <c r="A9" t="inlineStr">
        <is>
          <t>TGTX</t>
        </is>
      </c>
      <c r="B9" t="inlineStr">
        <is>
          <t>TG THERAPEUTICS</t>
        </is>
      </c>
      <c r="C9" s="2" t="n">
        <v>109204701.98</v>
      </c>
      <c r="D9" s="2" t="n">
        <v>210061232.64</v>
      </c>
      <c r="E9" s="2">
        <f>N(D9)-N(C9)</f>
        <v/>
      </c>
      <c r="F9" s="3">
        <f>IF(N(C9)=0,"n/a",E9/C9)</f>
        <v/>
      </c>
      <c r="G9" t="inlineStr"/>
    </row>
    <row r="10">
      <c r="A10" t="inlineStr">
        <is>
          <t>PTGX</t>
        </is>
      </c>
      <c r="B10" t="inlineStr">
        <is>
          <t>PROTAGONIST THERAPEUTICS</t>
        </is>
      </c>
      <c r="C10" s="2" t="n">
        <v>128407704.7</v>
      </c>
      <c r="D10" s="2" t="n">
        <v>224603315.75</v>
      </c>
      <c r="E10" s="2">
        <f>N(D10)-N(C10)</f>
        <v/>
      </c>
      <c r="F10" s="3">
        <f>IF(N(C10)=0,"n/a",E10/C10)</f>
        <v/>
      </c>
      <c r="G10" t="inlineStr"/>
    </row>
    <row r="11">
      <c r="A11" t="inlineStr">
        <is>
          <t>KNSA</t>
        </is>
      </c>
      <c r="B11" t="inlineStr">
        <is>
          <t>KINIKSA PHARMACEUTICALS INTERNATIO</t>
        </is>
      </c>
      <c r="C11" s="2" t="n"/>
      <c r="D11" s="2" t="n">
        <v>88074568.26000001</v>
      </c>
      <c r="E11" s="2">
        <f>N(D11)-N(C11)</f>
        <v/>
      </c>
      <c r="F11" s="3">
        <f>IF(N(C11)=0,"n/a",E11/C11)</f>
        <v/>
      </c>
      <c r="G11" t="inlineStr">
        <is>
          <t>신규(9/30에만 존재)</t>
        </is>
      </c>
    </row>
    <row r="12">
      <c r="A12" t="inlineStr">
        <is>
          <t>GKOS</t>
        </is>
      </c>
      <c r="B12" t="inlineStr">
        <is>
          <t>GLAUKOS</t>
        </is>
      </c>
      <c r="C12" s="2" t="n">
        <v>159590268.39</v>
      </c>
      <c r="D12" s="2" t="n">
        <v>245628240</v>
      </c>
      <c r="E12" s="2">
        <f>N(D12)-N(C12)</f>
        <v/>
      </c>
      <c r="F12" s="3">
        <f>IF(N(C12)=0,"n/a",E12/C12)</f>
        <v/>
      </c>
      <c r="G12" t="inlineStr"/>
    </row>
    <row r="13">
      <c r="A13" t="inlineStr">
        <is>
          <t>HTFL</t>
        </is>
      </c>
      <c r="B13" t="inlineStr">
        <is>
          <t>HEARTFLOW INC</t>
        </is>
      </c>
      <c r="C13" s="2" t="n">
        <v>13518574.85</v>
      </c>
      <c r="D13" s="2" t="n">
        <v>98875239.5</v>
      </c>
      <c r="E13" s="2">
        <f>N(D13)-N(C13)</f>
        <v/>
      </c>
      <c r="F13" s="3">
        <f>IF(N(C13)=0,"n/a",E13/C13)</f>
        <v/>
      </c>
      <c r="G13" t="inlineStr"/>
    </row>
    <row r="14">
      <c r="A14" t="inlineStr">
        <is>
          <t>DNTH</t>
        </is>
      </c>
      <c r="B14" t="inlineStr">
        <is>
          <t>DIANTHUS THERAPEUTICS INC</t>
        </is>
      </c>
      <c r="C14" s="2" t="n">
        <v>25355936.06</v>
      </c>
      <c r="D14" s="2" t="n">
        <v>107800055.25</v>
      </c>
      <c r="E14" s="2">
        <f>N(D14)-N(C14)</f>
        <v/>
      </c>
      <c r="F14" s="3">
        <f>IF(N(C14)=0,"n/a",E14/C14)</f>
        <v/>
      </c>
      <c r="G14" t="inlineStr"/>
    </row>
    <row r="15">
      <c r="A15" t="inlineStr">
        <is>
          <t>IBRX</t>
        </is>
      </c>
      <c r="B15" t="inlineStr">
        <is>
          <t>IMMUNITYBIO</t>
        </is>
      </c>
      <c r="C15" s="2" t="n">
        <v>14576791.68</v>
      </c>
      <c r="D15" s="2" t="n">
        <v>94316767.52</v>
      </c>
      <c r="E15" s="2">
        <f>N(D15)-N(C15)</f>
        <v/>
      </c>
      <c r="F15" s="3">
        <f>IF(N(C15)=0,"n/a",E15/C15)</f>
        <v/>
      </c>
      <c r="G15" t="inlineStr"/>
    </row>
    <row r="16">
      <c r="A16" t="inlineStr">
        <is>
          <t>ORKA</t>
        </is>
      </c>
      <c r="B16" t="inlineStr">
        <is>
          <t>ORUKA THERAPEUTICS INC</t>
        </is>
      </c>
      <c r="C16" s="2" t="n">
        <v>29268548.4</v>
      </c>
      <c r="D16" s="2" t="n">
        <v>108678874.25</v>
      </c>
      <c r="E16" s="2">
        <f>N(D16)-N(C16)</f>
        <v/>
      </c>
      <c r="F16" s="3">
        <f>IF(N(C16)=0,"n/a",E16/C16)</f>
        <v/>
      </c>
      <c r="G16" t="inlineStr"/>
    </row>
    <row r="17">
      <c r="A17" t="inlineStr">
        <is>
          <t>CGON</t>
        </is>
      </c>
      <c r="B17" t="inlineStr">
        <is>
          <t>CG ONCOLOGY</t>
        </is>
      </c>
      <c r="C17" s="2" t="n">
        <v>58563710.88</v>
      </c>
      <c r="D17" s="2" t="n">
        <v>135476106.75</v>
      </c>
      <c r="E17" s="2">
        <f>N(D17)-N(C17)</f>
        <v/>
      </c>
      <c r="F17" s="3">
        <f>IF(N(C17)=0,"n/a",E17/C17)</f>
        <v/>
      </c>
      <c r="G17" t="inlineStr"/>
    </row>
    <row r="18">
      <c r="A18" t="inlineStr">
        <is>
          <t>GRAL</t>
        </is>
      </c>
      <c r="B18" t="inlineStr">
        <is>
          <t>GRAIL INC</t>
        </is>
      </c>
      <c r="C18" s="2" t="n">
        <v>75943322.28</v>
      </c>
      <c r="D18" s="2" t="n">
        <v>149652363.6</v>
      </c>
      <c r="E18" s="2">
        <f>N(D18)-N(C18)</f>
        <v/>
      </c>
      <c r="F18" s="3">
        <f>IF(N(C18)=0,"n/a",E18/C18)</f>
        <v/>
      </c>
      <c r="G18" t="inlineStr"/>
    </row>
    <row r="19">
      <c r="A19" t="inlineStr">
        <is>
          <t>KOD</t>
        </is>
      </c>
      <c r="B19" t="inlineStr">
        <is>
          <t>KODIAK SCIENCES</t>
        </is>
      </c>
      <c r="C19" s="2" t="n">
        <v>23442474.84</v>
      </c>
      <c r="D19" s="2" t="n">
        <v>97093686</v>
      </c>
      <c r="E19" s="2">
        <f>N(D19)-N(C19)</f>
        <v/>
      </c>
      <c r="F19" s="3">
        <f>IF(N(C19)=0,"n/a",E19/C19)</f>
        <v/>
      </c>
      <c r="G19" t="inlineStr"/>
    </row>
    <row r="20">
      <c r="A20" t="inlineStr">
        <is>
          <t>KYMR</t>
        </is>
      </c>
      <c r="B20" t="inlineStr">
        <is>
          <t>KYMERA THERAPEUTICS</t>
        </is>
      </c>
      <c r="C20" s="2" t="n">
        <v>110963907.28</v>
      </c>
      <c r="D20" s="2" t="n">
        <v>181292637.75</v>
      </c>
      <c r="E20" s="2">
        <f>N(D20)-N(C20)</f>
        <v/>
      </c>
      <c r="F20" s="3">
        <f>IF(N(C20)=0,"n/a",E20/C20)</f>
        <v/>
      </c>
      <c r="G20" t="inlineStr"/>
    </row>
    <row r="21">
      <c r="A21" t="inlineStr">
        <is>
          <t>KRYS</t>
        </is>
      </c>
      <c r="B21" t="inlineStr">
        <is>
          <t>KRYSTAL BIOTECH</t>
        </is>
      </c>
      <c r="C21" s="2" t="n">
        <v>154410220.86</v>
      </c>
      <c r="D21" s="2" t="n">
        <v>224499948.96</v>
      </c>
      <c r="E21" s="2">
        <f>N(D21)-N(C21)</f>
        <v/>
      </c>
      <c r="F21" s="3">
        <f>IF(N(C21)=0,"n/a",E21/C21)</f>
        <v/>
      </c>
      <c r="G21" t="inlineStr"/>
    </row>
    <row r="22">
      <c r="A22" t="inlineStr">
        <is>
          <t>LGND</t>
        </is>
      </c>
      <c r="B22" t="inlineStr">
        <is>
          <t>LIGAND PHARMACEUTICALS</t>
        </is>
      </c>
      <c r="C22" s="2" t="n">
        <v>92634090.22</v>
      </c>
      <c r="D22" s="2" t="n">
        <v>161940417.25</v>
      </c>
      <c r="E22" s="2">
        <f>N(D22)-N(C22)</f>
        <v/>
      </c>
      <c r="F22" s="3">
        <f>IF(N(C22)=0,"n/a",E22/C22)</f>
        <v/>
      </c>
      <c r="G22" t="inlineStr"/>
    </row>
    <row r="23">
      <c r="A23" t="inlineStr">
        <is>
          <t>MANE</t>
        </is>
      </c>
      <c r="B23" t="inlineStr">
        <is>
          <t>VERADERMICS</t>
        </is>
      </c>
      <c r="C23" s="2" t="n"/>
      <c r="D23" s="2" t="n">
        <v>69146682.48</v>
      </c>
      <c r="E23" s="2">
        <f>N(D23)-N(C23)</f>
        <v/>
      </c>
      <c r="F23" s="3">
        <f>IF(N(C23)=0,"n/a",E23/C23)</f>
        <v/>
      </c>
      <c r="G23" t="inlineStr">
        <is>
          <t>신규(9/30에만 존재)</t>
        </is>
      </c>
    </row>
    <row r="24">
      <c r="A24" t="inlineStr">
        <is>
          <t>ERAS</t>
        </is>
      </c>
      <c r="B24" t="inlineStr">
        <is>
          <t>ERASCA</t>
        </is>
      </c>
      <c r="C24" s="2" t="n">
        <v>16402086.36</v>
      </c>
      <c r="D24" s="2" t="n">
        <v>84073267.5</v>
      </c>
      <c r="E24" s="2">
        <f>N(D24)-N(C24)</f>
        <v/>
      </c>
      <c r="F24" s="3">
        <f>IF(N(C24)=0,"n/a",E24/C24)</f>
        <v/>
      </c>
      <c r="G24" t="inlineStr"/>
    </row>
    <row r="25">
      <c r="A25" t="inlineStr">
        <is>
          <t>TNGX</t>
        </is>
      </c>
      <c r="B25" t="inlineStr">
        <is>
          <t>TANGO THERAPEUTICS</t>
        </is>
      </c>
      <c r="C25" s="2" t="n">
        <v>23688627.6</v>
      </c>
      <c r="D25" s="2" t="n">
        <v>91058617.8</v>
      </c>
      <c r="E25" s="2">
        <f>N(D25)-N(C25)</f>
        <v/>
      </c>
      <c r="F25" s="3">
        <f>IF(N(C25)=0,"n/a",E25/C25)</f>
        <v/>
      </c>
      <c r="G25" t="inlineStr"/>
    </row>
    <row r="26">
      <c r="A26" t="inlineStr">
        <is>
          <t>ACHC</t>
        </is>
      </c>
      <c r="B26" t="inlineStr">
        <is>
          <t>ACADIA HEALTHCARE COMPANY</t>
        </is>
      </c>
      <c r="C26" s="2" t="n"/>
      <c r="D26" s="2" t="n">
        <v>66990440</v>
      </c>
      <c r="E26" s="2">
        <f>N(D26)-N(C26)</f>
        <v/>
      </c>
      <c r="F26" s="3">
        <f>IF(N(C26)=0,"n/a",E26/C26)</f>
        <v/>
      </c>
      <c r="G26" t="inlineStr">
        <is>
          <t>신규(9/30에만 존재)</t>
        </is>
      </c>
    </row>
    <row r="27">
      <c r="A27" t="inlineStr">
        <is>
          <t>CDNA</t>
        </is>
      </c>
      <c r="B27" t="inlineStr">
        <is>
          <t>CAREDX</t>
        </is>
      </c>
      <c r="C27" s="2" t="n">
        <v>24945497.64</v>
      </c>
      <c r="D27" s="2" t="n">
        <v>86420165</v>
      </c>
      <c r="E27" s="2">
        <f>N(D27)-N(C27)</f>
        <v/>
      </c>
      <c r="F27" s="3">
        <f>IF(N(C27)=0,"n/a",E27/C27)</f>
        <v/>
      </c>
      <c r="G27" t="inlineStr"/>
    </row>
    <row r="28">
      <c r="A28" t="inlineStr">
        <is>
          <t>ALKS</t>
        </is>
      </c>
      <c r="B28" t="inlineStr">
        <is>
          <t>ALKERMES</t>
        </is>
      </c>
      <c r="C28" s="2" t="n">
        <v>114510808.1</v>
      </c>
      <c r="D28" s="2" t="n">
        <v>175891890.32</v>
      </c>
      <c r="E28" s="2">
        <f>N(D28)-N(C28)</f>
        <v/>
      </c>
      <c r="F28" s="3">
        <f>IF(N(C28)=0,"n/a",E28/C28)</f>
        <v/>
      </c>
      <c r="G28" t="inlineStr"/>
    </row>
    <row r="29">
      <c r="A29" t="inlineStr">
        <is>
          <t>PURR</t>
        </is>
      </c>
      <c r="B29" t="inlineStr">
        <is>
          <t>HYPERLIQUID STRATEGIES INC</t>
        </is>
      </c>
      <c r="C29" s="2" t="n"/>
      <c r="D29" s="2" t="n">
        <v>61365582.9</v>
      </c>
      <c r="E29" s="2">
        <f>N(D29)-N(C29)</f>
        <v/>
      </c>
      <c r="F29" s="3">
        <f>IF(N(C29)=0,"n/a",E29/C29)</f>
        <v/>
      </c>
      <c r="G29" t="inlineStr">
        <is>
          <t>신규(9/30에만 존재)</t>
        </is>
      </c>
    </row>
    <row r="30">
      <c r="A30" t="inlineStr">
        <is>
          <t>PCVX</t>
        </is>
      </c>
      <c r="B30" t="inlineStr">
        <is>
          <t>VAXCYTE</t>
        </is>
      </c>
      <c r="C30" s="2" t="n">
        <v>133295830.02</v>
      </c>
      <c r="D30" s="2" t="n">
        <v>194105758.1</v>
      </c>
      <c r="E30" s="2">
        <f>N(D30)-N(C30)</f>
        <v/>
      </c>
      <c r="F30" s="3">
        <f>IF(N(C30)=0,"n/a",E30/C30)</f>
        <v/>
      </c>
      <c r="G30" t="inlineStr"/>
    </row>
    <row r="31">
      <c r="A31" t="inlineStr">
        <is>
          <t>ADPT</t>
        </is>
      </c>
      <c r="B31" t="inlineStr">
        <is>
          <t>ADAPTIVE BIOTECHNOLOGIES</t>
        </is>
      </c>
      <c r="C31" s="2" t="n">
        <v>61418608.16</v>
      </c>
      <c r="D31" s="2" t="n">
        <v>119126464.7</v>
      </c>
      <c r="E31" s="2">
        <f>N(D31)-N(C31)</f>
        <v/>
      </c>
      <c r="F31" s="3">
        <f>IF(N(C31)=0,"n/a",E31/C31)</f>
        <v/>
      </c>
      <c r="G31" t="inlineStr"/>
    </row>
    <row r="32">
      <c r="A32" t="inlineStr">
        <is>
          <t>ASST</t>
        </is>
      </c>
      <c r="B32" t="inlineStr">
        <is>
          <t>STRIVE INC CLASS A</t>
        </is>
      </c>
      <c r="C32" s="2" t="n"/>
      <c r="D32" s="2" t="n">
        <v>57195391.6</v>
      </c>
      <c r="E32" s="2">
        <f>N(D32)-N(C32)</f>
        <v/>
      </c>
      <c r="F32" s="3">
        <f>IF(N(C32)=0,"n/a",E32/C32)</f>
        <v/>
      </c>
      <c r="G32" t="inlineStr">
        <is>
          <t>신규(9/30에만 존재)</t>
        </is>
      </c>
    </row>
    <row r="33">
      <c r="A33" t="inlineStr">
        <is>
          <t>TVTX</t>
        </is>
      </c>
      <c r="B33" t="inlineStr">
        <is>
          <t>TRAVERE THERAPEUTICS</t>
        </is>
      </c>
      <c r="C33" s="2" t="n">
        <v>79645955.67</v>
      </c>
      <c r="D33" s="2" t="n">
        <v>136049600</v>
      </c>
      <c r="E33" s="2">
        <f>N(D33)-N(C33)</f>
        <v/>
      </c>
      <c r="F33" s="3">
        <f>IF(N(C33)=0,"n/a",E33/C33)</f>
        <v/>
      </c>
      <c r="G33" t="inlineStr"/>
    </row>
    <row r="34">
      <c r="A34" t="inlineStr">
        <is>
          <t>LNTH</t>
        </is>
      </c>
      <c r="B34" t="inlineStr">
        <is>
          <t>LANTHEUS HOLDINGS</t>
        </is>
      </c>
      <c r="C34" s="2" t="n">
        <v>112675472.25</v>
      </c>
      <c r="D34" s="2" t="n">
        <v>167997980.89</v>
      </c>
      <c r="E34" s="2">
        <f>N(D34)-N(C34)</f>
        <v/>
      </c>
      <c r="F34" s="3">
        <f>IF(N(C34)=0,"n/a",E34/C34)</f>
        <v/>
      </c>
      <c r="G34" t="inlineStr"/>
    </row>
    <row r="35">
      <c r="A35" t="inlineStr">
        <is>
          <t>RLAY</t>
        </is>
      </c>
      <c r="B35" t="inlineStr">
        <is>
          <t>RELAY THERAPEUTICS</t>
        </is>
      </c>
      <c r="C35" s="2" t="n">
        <v>30082389.48</v>
      </c>
      <c r="D35" s="2" t="n">
        <v>85194628.2</v>
      </c>
      <c r="E35" s="2">
        <f>N(D35)-N(C35)</f>
        <v/>
      </c>
      <c r="F35" s="3">
        <f>IF(N(C35)=0,"n/a",E35/C35)</f>
        <v/>
      </c>
      <c r="G35" t="inlineStr"/>
    </row>
    <row r="36">
      <c r="A36" t="inlineStr">
        <is>
          <t>NKTR</t>
        </is>
      </c>
      <c r="B36" t="inlineStr">
        <is>
          <t>NEKTAR THERAPEUTICS</t>
        </is>
      </c>
      <c r="C36" s="2" t="n"/>
      <c r="D36" s="2" t="n">
        <v>54044707.16</v>
      </c>
      <c r="E36" s="2">
        <f>N(D36)-N(C36)</f>
        <v/>
      </c>
      <c r="F36" s="3">
        <f>IF(N(C36)=0,"n/a",E36/C36)</f>
        <v/>
      </c>
      <c r="G36" t="inlineStr">
        <is>
          <t>신규(9/30에만 존재)</t>
        </is>
      </c>
    </row>
    <row r="37">
      <c r="A37" t="inlineStr">
        <is>
          <t>ELVN</t>
        </is>
      </c>
      <c r="B37" t="inlineStr">
        <is>
          <t>ENLIVEN THERAPEUTICS</t>
        </is>
      </c>
      <c r="C37" s="2" t="n">
        <v>15196689.2</v>
      </c>
      <c r="D37" s="2" t="n">
        <v>69143405.76000001</v>
      </c>
      <c r="E37" s="2">
        <f>N(D37)-N(C37)</f>
        <v/>
      </c>
      <c r="F37" s="3">
        <f>IF(N(C37)=0,"n/a",E37/C37)</f>
        <v/>
      </c>
      <c r="G37" t="inlineStr"/>
    </row>
    <row r="38">
      <c r="A38" t="inlineStr">
        <is>
          <t>PRGO</t>
        </is>
      </c>
      <c r="B38" t="inlineStr">
        <is>
          <t>PERRIGO PLC</t>
        </is>
      </c>
      <c r="C38" s="2" t="n"/>
      <c r="D38" s="2" t="n">
        <v>53798856.84</v>
      </c>
      <c r="E38" s="2">
        <f>N(D38)-N(C38)</f>
        <v/>
      </c>
      <c r="F38" s="3">
        <f>IF(N(C38)=0,"n/a",E38/C38)</f>
        <v/>
      </c>
      <c r="G38" t="inlineStr">
        <is>
          <t>신규(9/30에만 존재)</t>
        </is>
      </c>
    </row>
    <row r="39">
      <c r="A39" t="inlineStr">
        <is>
          <t>SLS</t>
        </is>
      </c>
      <c r="B39" t="inlineStr">
        <is>
          <t>SELLAS LIFE SCIENCES GROUP INC</t>
        </is>
      </c>
      <c r="C39" s="2" t="n">
        <v>11813807.72</v>
      </c>
      <c r="D39" s="2" t="n">
        <v>64191048.95</v>
      </c>
      <c r="E39" s="2">
        <f>N(D39)-N(C39)</f>
        <v/>
      </c>
      <c r="F39" s="3">
        <f>IF(N(C39)=0,"n/a",E39/C39)</f>
        <v/>
      </c>
      <c r="G39" t="inlineStr"/>
    </row>
    <row r="40">
      <c r="A40" t="inlineStr">
        <is>
          <t>INSP</t>
        </is>
      </c>
      <c r="B40" t="inlineStr">
        <is>
          <t>INSPIRE MEDICAL SYSTEMS</t>
        </is>
      </c>
      <c r="C40" s="2" t="n"/>
      <c r="D40" s="2" t="n">
        <v>52034426.88</v>
      </c>
      <c r="E40" s="2">
        <f>N(D40)-N(C40)</f>
        <v/>
      </c>
      <c r="F40" s="3">
        <f>IF(N(C40)=0,"n/a",E40/C40)</f>
        <v/>
      </c>
      <c r="G40" t="inlineStr">
        <is>
          <t>신규(9/30에만 존재)</t>
        </is>
      </c>
    </row>
    <row r="41">
      <c r="A41" t="inlineStr">
        <is>
          <t>AMLX</t>
        </is>
      </c>
      <c r="B41" t="inlineStr">
        <is>
          <t>AMYLYX PHARMACEUTICALS</t>
        </is>
      </c>
      <c r="C41" s="2" t="n">
        <v>26913346.08</v>
      </c>
      <c r="D41" s="2" t="n">
        <v>78398106.3</v>
      </c>
      <c r="E41" s="2">
        <f>N(D41)-N(C41)</f>
        <v/>
      </c>
      <c r="F41" s="3">
        <f>IF(N(C41)=0,"n/a",E41/C41)</f>
        <v/>
      </c>
      <c r="G41" t="inlineStr"/>
    </row>
    <row r="42">
      <c r="A42" t="inlineStr">
        <is>
          <t>SRPT</t>
        </is>
      </c>
      <c r="B42" t="inlineStr">
        <is>
          <t>SAREPTA THERAPEUTICS</t>
        </is>
      </c>
      <c r="C42" s="2" t="n"/>
      <c r="D42" s="2" t="n">
        <v>49040642.26</v>
      </c>
      <c r="E42" s="2">
        <f>N(D42)-N(C42)</f>
        <v/>
      </c>
      <c r="F42" s="3">
        <f>IF(N(C42)=0,"n/a",E42/C42)</f>
        <v/>
      </c>
      <c r="G42" t="inlineStr">
        <is>
          <t>신규(9/30에만 존재)</t>
        </is>
      </c>
    </row>
    <row r="43">
      <c r="A43" t="inlineStr">
        <is>
          <t>LFST</t>
        </is>
      </c>
      <c r="B43" t="inlineStr">
        <is>
          <t>LIFESTANCE HEALTH GROUP</t>
        </is>
      </c>
      <c r="C43" s="2" t="n">
        <v>29442089.6</v>
      </c>
      <c r="D43" s="2" t="n">
        <v>77776199.61</v>
      </c>
      <c r="E43" s="2">
        <f>N(D43)-N(C43)</f>
        <v/>
      </c>
      <c r="F43" s="3">
        <f>IF(N(C43)=0,"n/a",E43/C43)</f>
        <v/>
      </c>
      <c r="G43" t="inlineStr"/>
    </row>
    <row r="44">
      <c r="A44" t="inlineStr">
        <is>
          <t>SRRK</t>
        </is>
      </c>
      <c r="B44" t="inlineStr">
        <is>
          <t>SCHOLAR ROCK HOLDING</t>
        </is>
      </c>
      <c r="C44" s="2" t="n">
        <v>91461675.75</v>
      </c>
      <c r="D44" s="2" t="n">
        <v>139790726.4</v>
      </c>
      <c r="E44" s="2">
        <f>N(D44)-N(C44)</f>
        <v/>
      </c>
      <c r="F44" s="3">
        <f>IF(N(C44)=0,"n/a",E44/C44)</f>
        <v/>
      </c>
      <c r="G44" t="inlineStr"/>
    </row>
    <row r="45">
      <c r="A45" t="inlineStr">
        <is>
          <t>CON</t>
        </is>
      </c>
      <c r="B45" t="inlineStr">
        <is>
          <t>CONCENTRA GROUP HOLDINGS PARENT IN</t>
        </is>
      </c>
      <c r="C45" s="2" t="n">
        <v>57465954.24</v>
      </c>
      <c r="D45" s="2" t="n">
        <v>105041957.82</v>
      </c>
      <c r="E45" s="2">
        <f>N(D45)-N(C45)</f>
        <v/>
      </c>
      <c r="F45" s="3">
        <f>IF(N(C45)=0,"n/a",E45/C45)</f>
        <v/>
      </c>
      <c r="G45" t="inlineStr"/>
    </row>
    <row r="46">
      <c r="A46" t="inlineStr">
        <is>
          <t>XRAY</t>
        </is>
      </c>
      <c r="B46" t="inlineStr">
        <is>
          <t>DENTSPLY SIRONA</t>
        </is>
      </c>
      <c r="C46" s="2" t="n"/>
      <c r="D46" s="2" t="n">
        <v>46952019.5</v>
      </c>
      <c r="E46" s="2">
        <f>N(D46)-N(C46)</f>
        <v/>
      </c>
      <c r="F46" s="3">
        <f>IF(N(C46)=0,"n/a",E46/C46)</f>
        <v/>
      </c>
      <c r="G46" t="inlineStr">
        <is>
          <t>신규(9/30에만 존재)</t>
        </is>
      </c>
    </row>
    <row r="47">
      <c r="A47" t="inlineStr">
        <is>
          <t>ESTA</t>
        </is>
      </c>
      <c r="B47" t="inlineStr">
        <is>
          <t>ESTABLISHMENT LABS INC</t>
        </is>
      </c>
      <c r="C47" s="2" t="n"/>
      <c r="D47" s="2" t="n">
        <v>45002228.49</v>
      </c>
      <c r="E47" s="2">
        <f>N(D47)-N(C47)</f>
        <v/>
      </c>
      <c r="F47" s="3">
        <f>IF(N(C47)=0,"n/a",E47/C47)</f>
        <v/>
      </c>
      <c r="G47" t="inlineStr">
        <is>
          <t>신규(9/30에만 존재)</t>
        </is>
      </c>
    </row>
    <row r="48">
      <c r="A48" t="inlineStr">
        <is>
          <t>ITGR</t>
        </is>
      </c>
      <c r="B48" t="inlineStr">
        <is>
          <t>INTEGER HOLDINGS CORP</t>
        </is>
      </c>
      <c r="C48" s="2" t="n">
        <v>68251433.03</v>
      </c>
      <c r="D48" s="2" t="n">
        <v>112252877.8</v>
      </c>
      <c r="E48" s="2">
        <f>N(D48)-N(C48)</f>
        <v/>
      </c>
      <c r="F48" s="3">
        <f>IF(N(C48)=0,"n/a",E48/C48)</f>
        <v/>
      </c>
      <c r="G48" t="inlineStr"/>
    </row>
    <row r="49">
      <c r="A49" t="inlineStr">
        <is>
          <t>CYTK</t>
        </is>
      </c>
      <c r="B49" t="inlineStr">
        <is>
          <t>CYTOKINETICS</t>
        </is>
      </c>
      <c r="C49" s="2" t="n">
        <v>187254603.9</v>
      </c>
      <c r="D49" s="2" t="n">
        <v>230134915.14</v>
      </c>
      <c r="E49" s="2">
        <f>N(D49)-N(C49)</f>
        <v/>
      </c>
      <c r="F49" s="3">
        <f>IF(N(C49)=0,"n/a",E49/C49)</f>
        <v/>
      </c>
      <c r="G49" t="inlineStr"/>
    </row>
    <row r="50">
      <c r="A50" t="inlineStr">
        <is>
          <t>RARE</t>
        </is>
      </c>
      <c r="B50" t="inlineStr">
        <is>
          <t>ULTRAGENYX PHARMACEUTICAL</t>
        </is>
      </c>
      <c r="C50" s="2" t="n"/>
      <c r="D50" s="2" t="n">
        <v>37522289.79</v>
      </c>
      <c r="E50" s="2">
        <f>N(D50)-N(C50)</f>
        <v/>
      </c>
      <c r="F50" s="3">
        <f>IF(N(C50)=0,"n/a",E50/C50)</f>
        <v/>
      </c>
      <c r="G50" t="inlineStr">
        <is>
          <t>신규(9/30에만 존재)</t>
        </is>
      </c>
    </row>
    <row r="51">
      <c r="A51" t="inlineStr">
        <is>
          <t>NEOG</t>
        </is>
      </c>
      <c r="B51" t="inlineStr">
        <is>
          <t>NEOGEN</t>
        </is>
      </c>
      <c r="C51" s="2" t="n">
        <v>38622762.69</v>
      </c>
      <c r="D51" s="2" t="n">
        <v>73453132.8</v>
      </c>
      <c r="E51" s="2">
        <f>N(D51)-N(C51)</f>
        <v/>
      </c>
      <c r="F51" s="3">
        <f>IF(N(C51)=0,"n/a",E51/C51)</f>
        <v/>
      </c>
      <c r="G51" t="inlineStr"/>
    </row>
    <row r="52">
      <c r="A52" t="inlineStr">
        <is>
          <t>PBLS</t>
        </is>
      </c>
      <c r="B52" t="inlineStr">
        <is>
          <t>PARABILIS MEDICINES INC</t>
        </is>
      </c>
      <c r="C52" s="2" t="n"/>
      <c r="D52" s="2" t="n">
        <v>33172195.09</v>
      </c>
      <c r="E52" s="2">
        <f>N(D52)-N(C52)</f>
        <v/>
      </c>
      <c r="F52" s="3">
        <f>IF(N(C52)=0,"n/a",E52/C52)</f>
        <v/>
      </c>
      <c r="G52" t="inlineStr">
        <is>
          <t>신규(9/30에만 존재)</t>
        </is>
      </c>
    </row>
    <row r="53">
      <c r="A53" t="inlineStr">
        <is>
          <t>EWTX</t>
        </is>
      </c>
      <c r="B53" t="inlineStr">
        <is>
          <t>EDGEWISE THERAPEUTICS</t>
        </is>
      </c>
      <c r="C53" s="2" t="n">
        <v>42278829.22</v>
      </c>
      <c r="D53" s="2" t="n">
        <v>75316694.59999999</v>
      </c>
      <c r="E53" s="2">
        <f>N(D53)-N(C53)</f>
        <v/>
      </c>
      <c r="F53" s="3">
        <f>IF(N(C53)=0,"n/a",E53/C53)</f>
        <v/>
      </c>
      <c r="G53" t="inlineStr"/>
    </row>
    <row r="54">
      <c r="A54" t="inlineStr">
        <is>
          <t>AMRX</t>
        </is>
      </c>
      <c r="B54" t="inlineStr">
        <is>
          <t>AMNEAL PHARMACEUTICALS INC CLASS A</t>
        </is>
      </c>
      <c r="C54" s="2" t="n">
        <v>48526417.8</v>
      </c>
      <c r="D54" s="2" t="n">
        <v>80978348.08</v>
      </c>
      <c r="E54" s="2">
        <f>N(D54)-N(C54)</f>
        <v/>
      </c>
      <c r="F54" s="3">
        <f>IF(N(C54)=0,"n/a",E54/C54)</f>
        <v/>
      </c>
      <c r="G54" t="inlineStr"/>
    </row>
    <row r="55">
      <c r="A55" t="inlineStr">
        <is>
          <t>BFLY</t>
        </is>
      </c>
      <c r="B55" t="inlineStr">
        <is>
          <t>BUTTERFLY NETWORK CLASS A</t>
        </is>
      </c>
      <c r="C55" s="2" t="n">
        <v>18721805.8</v>
      </c>
      <c r="D55" s="2" t="n">
        <v>50883804.16</v>
      </c>
      <c r="E55" s="2">
        <f>N(D55)-N(C55)</f>
        <v/>
      </c>
      <c r="F55" s="3">
        <f>IF(N(C55)=0,"n/a",E55/C55)</f>
        <v/>
      </c>
      <c r="G55" t="inlineStr"/>
    </row>
    <row r="56">
      <c r="A56" t="inlineStr">
        <is>
          <t>IMVT</t>
        </is>
      </c>
      <c r="B56" t="inlineStr">
        <is>
          <t>IMMUNOVANT</t>
        </is>
      </c>
      <c r="C56" s="2" t="n">
        <v>45028886.32</v>
      </c>
      <c r="D56" s="2" t="n">
        <v>76043779.44</v>
      </c>
      <c r="E56" s="2">
        <f>N(D56)-N(C56)</f>
        <v/>
      </c>
      <c r="F56" s="3">
        <f>IF(N(C56)=0,"n/a",E56/C56)</f>
        <v/>
      </c>
      <c r="G56" t="inlineStr"/>
    </row>
    <row r="57">
      <c r="A57" t="inlineStr">
        <is>
          <t>TRAX</t>
        </is>
      </c>
      <c r="B57" t="inlineStr">
        <is>
          <t>FIRST TRACKS BIOTHERAPEUTICS INC</t>
        </is>
      </c>
      <c r="C57" s="2" t="n"/>
      <c r="D57" s="2" t="n">
        <v>30656344.24</v>
      </c>
      <c r="E57" s="2">
        <f>N(D57)-N(C57)</f>
        <v/>
      </c>
      <c r="F57" s="3">
        <f>IF(N(C57)=0,"n/a",E57/C57)</f>
        <v/>
      </c>
      <c r="G57" t="inlineStr">
        <is>
          <t>신규(9/30에만 존재)</t>
        </is>
      </c>
    </row>
    <row r="58">
      <c r="A58" t="inlineStr">
        <is>
          <t>NHC</t>
        </is>
      </c>
      <c r="B58" t="inlineStr">
        <is>
          <t>NATIONAL HEALTHCARE CORP</t>
        </is>
      </c>
      <c r="C58" s="2" t="n">
        <v>44166696.57</v>
      </c>
      <c r="D58" s="2" t="n">
        <v>74254525.73999999</v>
      </c>
      <c r="E58" s="2">
        <f>N(D58)-N(C58)</f>
        <v/>
      </c>
      <c r="F58" s="3">
        <f>IF(N(C58)=0,"n/a",E58/C58)</f>
        <v/>
      </c>
      <c r="G58" t="inlineStr"/>
    </row>
    <row r="59">
      <c r="A59" t="inlineStr">
        <is>
          <t>ABSI</t>
        </is>
      </c>
      <c r="B59" t="inlineStr">
        <is>
          <t>ABSCI CORP</t>
        </is>
      </c>
      <c r="C59" s="2" t="n">
        <v>11977027.37</v>
      </c>
      <c r="D59" s="2" t="n">
        <v>41883334.53</v>
      </c>
      <c r="E59" s="2">
        <f>N(D59)-N(C59)</f>
        <v/>
      </c>
      <c r="F59" s="3">
        <f>IF(N(C59)=0,"n/a",E59/C59)</f>
        <v/>
      </c>
      <c r="G59" t="inlineStr"/>
    </row>
    <row r="60">
      <c r="A60" t="inlineStr">
        <is>
          <t>HAE</t>
        </is>
      </c>
      <c r="B60" t="inlineStr">
        <is>
          <t>HAEMONETICS CORP</t>
        </is>
      </c>
      <c r="C60" s="2" t="n">
        <v>97522111.75</v>
      </c>
      <c r="D60" s="2" t="n">
        <v>125745679.8</v>
      </c>
      <c r="E60" s="2">
        <f>N(D60)-N(C60)</f>
        <v/>
      </c>
      <c r="F60" s="3">
        <f>IF(N(C60)=0,"n/a",E60/C60)</f>
        <v/>
      </c>
      <c r="G60" t="inlineStr"/>
    </row>
    <row r="61">
      <c r="A61" t="inlineStr">
        <is>
          <t>CERT</t>
        </is>
      </c>
      <c r="B61" t="inlineStr">
        <is>
          <t>CERTARA</t>
        </is>
      </c>
      <c r="C61" s="2" t="n"/>
      <c r="D61" s="2" t="n">
        <v>28155284.4</v>
      </c>
      <c r="E61" s="2">
        <f>N(D61)-N(C61)</f>
        <v/>
      </c>
      <c r="F61" s="3">
        <f>IF(N(C61)=0,"n/a",E61/C61)</f>
        <v/>
      </c>
      <c r="G61" t="inlineStr">
        <is>
          <t>신규(9/30에만 존재)</t>
        </is>
      </c>
    </row>
    <row r="62">
      <c r="A62" t="inlineStr">
        <is>
          <t>DMRA</t>
        </is>
      </c>
      <c r="B62" t="inlineStr">
        <is>
          <t>DAMORA THERAPEUTICS INC</t>
        </is>
      </c>
      <c r="C62" s="2" t="n"/>
      <c r="D62" s="2" t="n">
        <v>26113645.6</v>
      </c>
      <c r="E62" s="2">
        <f>N(D62)-N(C62)</f>
        <v/>
      </c>
      <c r="F62" s="3">
        <f>IF(N(C62)=0,"n/a",E62/C62)</f>
        <v/>
      </c>
      <c r="G62" t="inlineStr">
        <is>
          <t>신규(9/30에만 존재)</t>
        </is>
      </c>
    </row>
    <row r="63">
      <c r="A63" t="inlineStr">
        <is>
          <t>LIVN</t>
        </is>
      </c>
      <c r="B63" t="inlineStr">
        <is>
          <t>LIVANOVA PLC</t>
        </is>
      </c>
      <c r="C63" s="2" t="n">
        <v>84948564.12</v>
      </c>
      <c r="D63" s="2" t="n">
        <v>110977173</v>
      </c>
      <c r="E63" s="2">
        <f>N(D63)-N(C63)</f>
        <v/>
      </c>
      <c r="F63" s="3">
        <f>IF(N(C63)=0,"n/a",E63/C63)</f>
        <v/>
      </c>
      <c r="G63" t="inlineStr"/>
    </row>
    <row r="64">
      <c r="A64" t="inlineStr">
        <is>
          <t>VIR</t>
        </is>
      </c>
      <c r="B64" t="inlineStr">
        <is>
          <t>VIR BIOTECHNOLOGY</t>
        </is>
      </c>
      <c r="C64" s="2" t="n">
        <v>13592964.69</v>
      </c>
      <c r="D64" s="2" t="n">
        <v>39499968.56</v>
      </c>
      <c r="E64" s="2">
        <f>N(D64)-N(C64)</f>
        <v/>
      </c>
      <c r="F64" s="3">
        <f>IF(N(C64)=0,"n/a",E64/C64)</f>
        <v/>
      </c>
      <c r="G64" t="inlineStr"/>
    </row>
    <row r="65">
      <c r="A65" t="inlineStr">
        <is>
          <t>MBX</t>
        </is>
      </c>
      <c r="B65" t="inlineStr">
        <is>
          <t>MBX BIOSCIENCES</t>
        </is>
      </c>
      <c r="C65" s="2" t="n">
        <v>22535487.7</v>
      </c>
      <c r="D65" s="2" t="n">
        <v>47221751.34</v>
      </c>
      <c r="E65" s="2">
        <f>N(D65)-N(C65)</f>
        <v/>
      </c>
      <c r="F65" s="3">
        <f>IF(N(C65)=0,"n/a",E65/C65)</f>
        <v/>
      </c>
      <c r="G65" t="inlineStr"/>
    </row>
    <row r="66">
      <c r="A66" t="inlineStr">
        <is>
          <t>ETON</t>
        </is>
      </c>
      <c r="B66" t="inlineStr">
        <is>
          <t>ETON PHARMACEUTCIALS INC</t>
        </is>
      </c>
      <c r="C66" s="2" t="n">
        <v>10940533.26</v>
      </c>
      <c r="D66" s="2" t="n">
        <v>35576603.58</v>
      </c>
      <c r="E66" s="2">
        <f>N(D66)-N(C66)</f>
        <v/>
      </c>
      <c r="F66" s="3">
        <f>IF(N(C66)=0,"n/a",E66/C66)</f>
        <v/>
      </c>
      <c r="G66" t="inlineStr"/>
    </row>
    <row r="67">
      <c r="A67" t="inlineStr">
        <is>
          <t>ATRC</t>
        </is>
      </c>
      <c r="B67" t="inlineStr">
        <is>
          <t>ATRICURE</t>
        </is>
      </c>
      <c r="C67" s="2" t="n">
        <v>48427136.64</v>
      </c>
      <c r="D67" s="2" t="n">
        <v>72574319.59999999</v>
      </c>
      <c r="E67" s="2">
        <f>N(D67)-N(C67)</f>
        <v/>
      </c>
      <c r="F67" s="3">
        <f>IF(N(C67)=0,"n/a",E67/C67)</f>
        <v/>
      </c>
      <c r="G67" t="inlineStr"/>
    </row>
    <row r="68">
      <c r="A68" t="inlineStr">
        <is>
          <t>PGEN</t>
        </is>
      </c>
      <c r="B68" t="inlineStr">
        <is>
          <t>PRECIGEN</t>
        </is>
      </c>
      <c r="C68" s="2" t="n">
        <v>18860310.48</v>
      </c>
      <c r="D68" s="2" t="n">
        <v>42761428.64</v>
      </c>
      <c r="E68" s="2">
        <f>N(D68)-N(C68)</f>
        <v/>
      </c>
      <c r="F68" s="3">
        <f>IF(N(C68)=0,"n/a",E68/C68)</f>
        <v/>
      </c>
      <c r="G68" t="inlineStr"/>
    </row>
    <row r="69">
      <c r="A69" t="inlineStr">
        <is>
          <t>DNLI</t>
        </is>
      </c>
      <c r="B69" t="inlineStr">
        <is>
          <t>DENALI THERAPEUTICS</t>
        </is>
      </c>
      <c r="C69" s="2" t="n">
        <v>55174009.54</v>
      </c>
      <c r="D69" s="2" t="n">
        <v>78825355.05</v>
      </c>
      <c r="E69" s="2">
        <f>N(D69)-N(C69)</f>
        <v/>
      </c>
      <c r="F69" s="3">
        <f>IF(N(C69)=0,"n/a",E69/C69)</f>
        <v/>
      </c>
      <c r="G69" t="inlineStr"/>
    </row>
    <row r="70">
      <c r="A70" t="inlineStr">
        <is>
          <t>PVLA</t>
        </is>
      </c>
      <c r="B70" t="inlineStr">
        <is>
          <t>PALVELLA THERAPEUTICS INC</t>
        </is>
      </c>
      <c r="C70" s="2" t="n">
        <v>19202862.87</v>
      </c>
      <c r="D70" s="2" t="n">
        <v>42578853.07</v>
      </c>
      <c r="E70" s="2">
        <f>N(D70)-N(C70)</f>
        <v/>
      </c>
      <c r="F70" s="3">
        <f>IF(N(C70)=0,"n/a",E70/C70)</f>
        <v/>
      </c>
      <c r="G70" t="inlineStr"/>
    </row>
    <row r="71">
      <c r="A71" t="inlineStr">
        <is>
          <t>MIRM</t>
        </is>
      </c>
      <c r="B71" t="inlineStr">
        <is>
          <t>MIRUM PHARMACEUTICALS</t>
        </is>
      </c>
      <c r="C71" s="2" t="n">
        <v>81674475.15000001</v>
      </c>
      <c r="D71" s="2" t="n">
        <v>105038593.32</v>
      </c>
      <c r="E71" s="2">
        <f>N(D71)-N(C71)</f>
        <v/>
      </c>
      <c r="F71" s="3">
        <f>IF(N(C71)=0,"n/a",E71/C71)</f>
        <v/>
      </c>
      <c r="G71" t="inlineStr"/>
    </row>
    <row r="72">
      <c r="A72" t="inlineStr">
        <is>
          <t>NEO</t>
        </is>
      </c>
      <c r="B72" t="inlineStr">
        <is>
          <t>NEOGENOMICS</t>
        </is>
      </c>
      <c r="C72" s="2" t="n">
        <v>38410041.6</v>
      </c>
      <c r="D72" s="2" t="n">
        <v>61680713.76</v>
      </c>
      <c r="E72" s="2">
        <f>N(D72)-N(C72)</f>
        <v/>
      </c>
      <c r="F72" s="3">
        <f>IF(N(C72)=0,"n/a",E72/C72)</f>
        <v/>
      </c>
      <c r="G72" t="inlineStr"/>
    </row>
    <row r="73">
      <c r="A73" t="inlineStr">
        <is>
          <t>SNDA</t>
        </is>
      </c>
      <c r="B73" t="inlineStr">
        <is>
          <t>SONIDA SENIOR LIVING</t>
        </is>
      </c>
      <c r="C73" s="2" t="n">
        <v>4411285.14</v>
      </c>
      <c r="D73" s="2" t="n">
        <v>27629379.7</v>
      </c>
      <c r="E73" s="2">
        <f>N(D73)-N(C73)</f>
        <v/>
      </c>
      <c r="F73" s="3">
        <f>IF(N(C73)=0,"n/a",E73/C73)</f>
        <v/>
      </c>
      <c r="G73" t="inlineStr"/>
    </row>
    <row r="74">
      <c r="A74" t="inlineStr">
        <is>
          <t>URGN</t>
        </is>
      </c>
      <c r="B74" t="inlineStr">
        <is>
          <t>UROGEN PHARMA</t>
        </is>
      </c>
      <c r="C74" s="2" t="n">
        <v>21774604.48</v>
      </c>
      <c r="D74" s="2" t="n">
        <v>44823584.82</v>
      </c>
      <c r="E74" s="2">
        <f>N(D74)-N(C74)</f>
        <v/>
      </c>
      <c r="F74" s="3">
        <f>IF(N(C74)=0,"n/a",E74/C74)</f>
        <v/>
      </c>
      <c r="G74" t="inlineStr"/>
    </row>
    <row r="75">
      <c r="A75" t="inlineStr">
        <is>
          <t>CLOV</t>
        </is>
      </c>
      <c r="B75" t="inlineStr">
        <is>
          <t>CLOVER HEALTH INVESTMENTS CLASS A</t>
        </is>
      </c>
      <c r="C75" s="2" t="n">
        <v>24290093.5</v>
      </c>
      <c r="D75" s="2" t="n">
        <v>47079250.6</v>
      </c>
      <c r="E75" s="2">
        <f>N(D75)-N(C75)</f>
        <v/>
      </c>
      <c r="F75" s="3">
        <f>IF(N(C75)=0,"n/a",E75/C75)</f>
        <v/>
      </c>
      <c r="G75" t="inlineStr"/>
    </row>
    <row r="76">
      <c r="A76" t="inlineStr">
        <is>
          <t>OMDA</t>
        </is>
      </c>
      <c r="B76" t="inlineStr">
        <is>
          <t>OMADA HEALTH</t>
        </is>
      </c>
      <c r="C76" s="2" t="n">
        <v>3478843.02</v>
      </c>
      <c r="D76" s="2" t="n">
        <v>25670050.64</v>
      </c>
      <c r="E76" s="2">
        <f>N(D76)-N(C76)</f>
        <v/>
      </c>
      <c r="F76" s="3">
        <f>IF(N(C76)=0,"n/a",E76/C76)</f>
        <v/>
      </c>
      <c r="G76" t="inlineStr"/>
    </row>
    <row r="77">
      <c r="A77" t="inlineStr">
        <is>
          <t>PRAX</t>
        </is>
      </c>
      <c r="B77" t="inlineStr">
        <is>
          <t>PRAXIS PRECISION MEDICINES</t>
        </is>
      </c>
      <c r="C77" s="2" t="n">
        <v>167638090.84</v>
      </c>
      <c r="D77" s="2" t="n">
        <v>189517922.5</v>
      </c>
      <c r="E77" s="2">
        <f>N(D77)-N(C77)</f>
        <v/>
      </c>
      <c r="F77" s="3">
        <f>IF(N(C77)=0,"n/a",E77/C77)</f>
        <v/>
      </c>
      <c r="G77" t="inlineStr"/>
    </row>
    <row r="78">
      <c r="A78" t="inlineStr">
        <is>
          <t>AMN</t>
        </is>
      </c>
      <c r="B78" t="inlineStr">
        <is>
          <t>AMN HEALTHCARE</t>
        </is>
      </c>
      <c r="C78" s="2" t="n">
        <v>15084226.96</v>
      </c>
      <c r="D78" s="2" t="n">
        <v>36558560.52</v>
      </c>
      <c r="E78" s="2">
        <f>N(D78)-N(C78)</f>
        <v/>
      </c>
      <c r="F78" s="3">
        <f>IF(N(C78)=0,"n/a",E78/C78)</f>
        <v/>
      </c>
      <c r="G78" t="inlineStr"/>
    </row>
    <row r="79">
      <c r="A79" t="inlineStr">
        <is>
          <t>ANRO</t>
        </is>
      </c>
      <c r="B79" t="inlineStr">
        <is>
          <t>ALTO NEUROSCIENCE INC</t>
        </is>
      </c>
      <c r="C79" s="2" t="n"/>
      <c r="D79" s="2" t="n">
        <v>21356406.66</v>
      </c>
      <c r="E79" s="2">
        <f>N(D79)-N(C79)</f>
        <v/>
      </c>
      <c r="F79" s="3">
        <f>IF(N(C79)=0,"n/a",E79/C79)</f>
        <v/>
      </c>
      <c r="G79" t="inlineStr">
        <is>
          <t>신규(9/30에만 존재)</t>
        </is>
      </c>
    </row>
    <row r="80">
      <c r="A80" t="inlineStr">
        <is>
          <t>SDGR</t>
        </is>
      </c>
      <c r="B80" t="inlineStr">
        <is>
          <t>SCHRODINGER INC</t>
        </is>
      </c>
      <c r="C80" s="2" t="n">
        <v>25451339.64</v>
      </c>
      <c r="D80" s="2" t="n">
        <v>46766112.75</v>
      </c>
      <c r="E80" s="2">
        <f>N(D80)-N(C80)</f>
        <v/>
      </c>
      <c r="F80" s="3">
        <f>IF(N(C80)=0,"n/a",E80/C80)</f>
        <v/>
      </c>
      <c r="G80" t="inlineStr"/>
    </row>
    <row r="81">
      <c r="A81" t="inlineStr">
        <is>
          <t>AXGN</t>
        </is>
      </c>
      <c r="B81" t="inlineStr">
        <is>
          <t>AXOGEN</t>
        </is>
      </c>
      <c r="C81" s="2" t="n">
        <v>36798535.38</v>
      </c>
      <c r="D81" s="2" t="n">
        <v>57881291.52</v>
      </c>
      <c r="E81" s="2">
        <f>N(D81)-N(C81)</f>
        <v/>
      </c>
      <c r="F81" s="3">
        <f>IF(N(C81)=0,"n/a",E81/C81)</f>
        <v/>
      </c>
      <c r="G81" t="inlineStr"/>
    </row>
    <row r="82">
      <c r="A82" t="inlineStr">
        <is>
          <t>CLDX</t>
        </is>
      </c>
      <c r="B82" t="inlineStr">
        <is>
          <t>CELLDEX THERAPEUTICS</t>
        </is>
      </c>
      <c r="C82" s="2" t="n">
        <v>44714757.36</v>
      </c>
      <c r="D82" s="2" t="n">
        <v>65496364.29</v>
      </c>
      <c r="E82" s="2">
        <f>N(D82)-N(C82)</f>
        <v/>
      </c>
      <c r="F82" s="3">
        <f>IF(N(C82)=0,"n/a",E82/C82)</f>
        <v/>
      </c>
      <c r="G82" t="inlineStr"/>
    </row>
    <row r="83">
      <c r="A83" t="inlineStr">
        <is>
          <t>AGL</t>
        </is>
      </c>
      <c r="B83" t="inlineStr">
        <is>
          <t>AGILON HEALTH</t>
        </is>
      </c>
      <c r="C83" s="2" t="n">
        <v>5390352.28</v>
      </c>
      <c r="D83" s="2" t="n">
        <v>25748956.8</v>
      </c>
      <c r="E83" s="2">
        <f>N(D83)-N(C83)</f>
        <v/>
      </c>
      <c r="F83" s="3">
        <f>IF(N(C83)=0,"n/a",E83/C83)</f>
        <v/>
      </c>
      <c r="G83" t="inlineStr"/>
    </row>
    <row r="84">
      <c r="A84" t="inlineStr">
        <is>
          <t>PSNL</t>
        </is>
      </c>
      <c r="B84" t="inlineStr">
        <is>
          <t>PERSONALIS</t>
        </is>
      </c>
      <c r="C84" s="2" t="n">
        <v>10285736.88</v>
      </c>
      <c r="D84" s="2" t="n">
        <v>30588540.84</v>
      </c>
      <c r="E84" s="2">
        <f>N(D84)-N(C84)</f>
        <v/>
      </c>
      <c r="F84" s="3">
        <f>IF(N(C84)=0,"n/a",E84/C84)</f>
        <v/>
      </c>
      <c r="G84" t="inlineStr"/>
    </row>
    <row r="85">
      <c r="A85" t="inlineStr">
        <is>
          <t>AVTX</t>
        </is>
      </c>
      <c r="B85" t="inlineStr">
        <is>
          <t>AVALO THERAPEUTICS</t>
        </is>
      </c>
      <c r="C85" s="2" t="n"/>
      <c r="D85" s="2" t="n">
        <v>20233683.75</v>
      </c>
      <c r="E85" s="2">
        <f>N(D85)-N(C85)</f>
        <v/>
      </c>
      <c r="F85" s="3">
        <f>IF(N(C85)=0,"n/a",E85/C85)</f>
        <v/>
      </c>
      <c r="G85" t="inlineStr">
        <is>
          <t>신규(9/30에만 존재)</t>
        </is>
      </c>
    </row>
    <row r="86">
      <c r="A86" t="inlineStr">
        <is>
          <t>IDYA</t>
        </is>
      </c>
      <c r="B86" t="inlineStr">
        <is>
          <t>IDEAYA BIOSCIENCES</t>
        </is>
      </c>
      <c r="C86" s="2" t="n">
        <v>70047255.08</v>
      </c>
      <c r="D86" s="2" t="n">
        <v>89812897.2</v>
      </c>
      <c r="E86" s="2">
        <f>N(D86)-N(C86)</f>
        <v/>
      </c>
      <c r="F86" s="3">
        <f>IF(N(C86)=0,"n/a",E86/C86)</f>
        <v/>
      </c>
      <c r="G86" t="inlineStr"/>
    </row>
    <row r="87">
      <c r="A87" t="inlineStr">
        <is>
          <t>NTLA</t>
        </is>
      </c>
      <c r="B87" t="inlineStr">
        <is>
          <t>INTELLIA THERAPEUTICS</t>
        </is>
      </c>
      <c r="C87" s="2" t="n">
        <v>23285853.05</v>
      </c>
      <c r="D87" s="2" t="n">
        <v>42990450.84</v>
      </c>
      <c r="E87" s="2">
        <f>N(D87)-N(C87)</f>
        <v/>
      </c>
      <c r="F87" s="3">
        <f>IF(N(C87)=0,"n/a",E87/C87)</f>
        <v/>
      </c>
      <c r="G87" t="inlineStr"/>
    </row>
    <row r="88">
      <c r="A88" t="inlineStr">
        <is>
          <t>BHVN</t>
        </is>
      </c>
      <c r="B88" t="inlineStr">
        <is>
          <t>BIOHAVEN</t>
        </is>
      </c>
      <c r="C88" s="2" t="n">
        <v>26687098.78</v>
      </c>
      <c r="D88" s="2" t="n">
        <v>46125224.55</v>
      </c>
      <c r="E88" s="2">
        <f>N(D88)-N(C88)</f>
        <v/>
      </c>
      <c r="F88" s="3">
        <f>IF(N(C88)=0,"n/a",E88/C88)</f>
        <v/>
      </c>
      <c r="G88" t="inlineStr"/>
    </row>
    <row r="89">
      <c r="A89" t="inlineStr">
        <is>
          <t>VOR</t>
        </is>
      </c>
      <c r="B89" t="inlineStr">
        <is>
          <t>VOR BIOPHARMA</t>
        </is>
      </c>
      <c r="C89" s="2" t="n"/>
      <c r="D89" s="2" t="n">
        <v>19010052.72</v>
      </c>
      <c r="E89" s="2">
        <f>N(D89)-N(C89)</f>
        <v/>
      </c>
      <c r="F89" s="3">
        <f>IF(N(C89)=0,"n/a",E89/C89)</f>
        <v/>
      </c>
      <c r="G89" t="inlineStr">
        <is>
          <t>신규(9/30에만 존재)</t>
        </is>
      </c>
    </row>
    <row r="90">
      <c r="A90" t="inlineStr">
        <is>
          <t>BLFS</t>
        </is>
      </c>
      <c r="B90" t="inlineStr">
        <is>
          <t>BIOLIFE SOLUTIONS</t>
        </is>
      </c>
      <c r="C90" s="2" t="n">
        <v>24895462.02</v>
      </c>
      <c r="D90" s="2" t="n">
        <v>43274937.3</v>
      </c>
      <c r="E90" s="2">
        <f>N(D90)-N(C90)</f>
        <v/>
      </c>
      <c r="F90" s="3">
        <f>IF(N(C90)=0,"n/a",E90/C90)</f>
        <v/>
      </c>
      <c r="G90" t="inlineStr"/>
    </row>
    <row r="91">
      <c r="A91" t="inlineStr">
        <is>
          <t>PLSE</t>
        </is>
      </c>
      <c r="B91" t="inlineStr">
        <is>
          <t>PULSE BIOSCIENCES INC</t>
        </is>
      </c>
      <c r="C91" s="2" t="n">
        <v>6325562.03</v>
      </c>
      <c r="D91" s="2" t="n">
        <v>24442978.56</v>
      </c>
      <c r="E91" s="2">
        <f>N(D91)-N(C91)</f>
        <v/>
      </c>
      <c r="F91" s="3">
        <f>IF(N(C91)=0,"n/a",E91/C91)</f>
        <v/>
      </c>
      <c r="G91" t="inlineStr"/>
    </row>
    <row r="92">
      <c r="A92" t="inlineStr">
        <is>
          <t>XNCR</t>
        </is>
      </c>
      <c r="B92" t="inlineStr">
        <is>
          <t>XENCOR</t>
        </is>
      </c>
      <c r="C92" s="2" t="n">
        <v>27214918.21</v>
      </c>
      <c r="D92" s="2" t="n">
        <v>45045503.45</v>
      </c>
      <c r="E92" s="2">
        <f>N(D92)-N(C92)</f>
        <v/>
      </c>
      <c r="F92" s="3">
        <f>IF(N(C92)=0,"n/a",E92/C92)</f>
        <v/>
      </c>
      <c r="G92" t="inlineStr"/>
    </row>
    <row r="93">
      <c r="A93" t="inlineStr">
        <is>
          <t>NVAX</t>
        </is>
      </c>
      <c r="B93" t="inlineStr">
        <is>
          <t>NOVAVAX</t>
        </is>
      </c>
      <c r="C93" s="2" t="n">
        <v>25362818.88</v>
      </c>
      <c r="D93" s="2" t="n">
        <v>42937179.47</v>
      </c>
      <c r="E93" s="2">
        <f>N(D93)-N(C93)</f>
        <v/>
      </c>
      <c r="F93" s="3">
        <f>IF(N(C93)=0,"n/a",E93/C93)</f>
        <v/>
      </c>
      <c r="G93" t="inlineStr"/>
    </row>
    <row r="94">
      <c r="A94" t="inlineStr">
        <is>
          <t>GRDN</t>
        </is>
      </c>
      <c r="B94" t="inlineStr">
        <is>
          <t>GUARDIAN PHARMACY SERVICES CLASS A</t>
        </is>
      </c>
      <c r="C94" s="2" t="n">
        <v>16840259.67</v>
      </c>
      <c r="D94" s="2" t="n">
        <v>33456319.8</v>
      </c>
      <c r="E94" s="2">
        <f>N(D94)-N(C94)</f>
        <v/>
      </c>
      <c r="F94" s="3">
        <f>IF(N(C94)=0,"n/a",E94/C94)</f>
        <v/>
      </c>
      <c r="G94" t="inlineStr"/>
    </row>
    <row r="95">
      <c r="A95" t="inlineStr">
        <is>
          <t>ACHV</t>
        </is>
      </c>
      <c r="B95" t="inlineStr">
        <is>
          <t>ACHIEVE LIFE SCIENCES</t>
        </is>
      </c>
      <c r="C95" s="2" t="n"/>
      <c r="D95" s="2" t="n">
        <v>16453870.77</v>
      </c>
      <c r="E95" s="2">
        <f>N(D95)-N(C95)</f>
        <v/>
      </c>
      <c r="F95" s="3">
        <f>IF(N(C95)=0,"n/a",E95/C95)</f>
        <v/>
      </c>
      <c r="G95" t="inlineStr">
        <is>
          <t>신규(9/30에만 존재)</t>
        </is>
      </c>
    </row>
    <row r="96">
      <c r="A96" t="inlineStr">
        <is>
          <t>ASTH</t>
        </is>
      </c>
      <c r="B96" t="inlineStr">
        <is>
          <t>ASTRANA HEALTH</t>
        </is>
      </c>
      <c r="C96" s="2" t="n">
        <v>25516539.18</v>
      </c>
      <c r="D96" s="2" t="n">
        <v>41885666.92</v>
      </c>
      <c r="E96" s="2">
        <f>N(D96)-N(C96)</f>
        <v/>
      </c>
      <c r="F96" s="3">
        <f>IF(N(C96)=0,"n/a",E96/C96)</f>
        <v/>
      </c>
      <c r="G96" t="inlineStr"/>
    </row>
    <row r="97">
      <c r="A97" t="inlineStr">
        <is>
          <t>UFPT</t>
        </is>
      </c>
      <c r="B97" t="inlineStr">
        <is>
          <t>UFP TECHNOLOGIES INC</t>
        </is>
      </c>
      <c r="C97" s="2" t="n">
        <v>42050483.73</v>
      </c>
      <c r="D97" s="2" t="n">
        <v>58407942.78</v>
      </c>
      <c r="E97" s="2">
        <f>N(D97)-N(C97)</f>
        <v/>
      </c>
      <c r="F97" s="3">
        <f>IF(N(C97)=0,"n/a",E97/C97)</f>
        <v/>
      </c>
      <c r="G97" t="inlineStr"/>
    </row>
    <row r="98">
      <c r="A98" t="inlineStr">
        <is>
          <t>IMMX</t>
        </is>
      </c>
      <c r="B98" t="inlineStr">
        <is>
          <t>IMMIX BIOPHARMA</t>
        </is>
      </c>
      <c r="C98" s="2" t="n"/>
      <c r="D98" s="2" t="n">
        <v>16061001.92</v>
      </c>
      <c r="E98" s="2">
        <f>N(D98)-N(C98)</f>
        <v/>
      </c>
      <c r="F98" s="3">
        <f>IF(N(C98)=0,"n/a",E98/C98)</f>
        <v/>
      </c>
      <c r="G98" t="inlineStr">
        <is>
          <t>신규(9/30에만 존재)</t>
        </is>
      </c>
    </row>
    <row r="99">
      <c r="A99" t="inlineStr">
        <is>
          <t>ICUI</t>
        </is>
      </c>
      <c r="B99" t="inlineStr">
        <is>
          <t>ICU MEDICAL</t>
        </is>
      </c>
      <c r="C99" s="2" t="n">
        <v>87111305.93000001</v>
      </c>
      <c r="D99" s="2" t="n">
        <v>102907134.26</v>
      </c>
      <c r="E99" s="2">
        <f>N(D99)-N(C99)</f>
        <v/>
      </c>
      <c r="F99" s="3">
        <f>IF(N(C99)=0,"n/a",E99/C99)</f>
        <v/>
      </c>
      <c r="G99" t="inlineStr"/>
    </row>
    <row r="100">
      <c r="A100" t="inlineStr">
        <is>
          <t>RXRX</t>
        </is>
      </c>
      <c r="B100" t="inlineStr">
        <is>
          <t>RECURSION PHARMACEUTICALS CLASS A</t>
        </is>
      </c>
      <c r="C100" s="2" t="n">
        <v>39231897.59</v>
      </c>
      <c r="D100" s="2" t="n">
        <v>55007498.91</v>
      </c>
      <c r="E100" s="2">
        <f>N(D100)-N(C100)</f>
        <v/>
      </c>
      <c r="F100" s="3">
        <f>IF(N(C100)=0,"n/a",E100/C100)</f>
        <v/>
      </c>
      <c r="G100" t="inlineStr"/>
    </row>
    <row r="101">
      <c r="A101" t="inlineStr">
        <is>
          <t>COAG</t>
        </is>
      </c>
      <c r="B101" t="inlineStr">
        <is>
          <t>HEMAB THERAPEUTICS HOLDINGS INC</t>
        </is>
      </c>
      <c r="C101" s="2" t="n"/>
      <c r="D101" s="2" t="n">
        <v>15629434.44</v>
      </c>
      <c r="E101" s="2">
        <f>N(D101)-N(C101)</f>
        <v/>
      </c>
      <c r="F101" s="3">
        <f>IF(N(C101)=0,"n/a",E101/C101)</f>
        <v/>
      </c>
      <c r="G101" t="inlineStr">
        <is>
          <t>신규(9/30에만 존재)</t>
        </is>
      </c>
    </row>
    <row r="102">
      <c r="A102" t="inlineStr">
        <is>
          <t>SGMT</t>
        </is>
      </c>
      <c r="B102" t="inlineStr">
        <is>
          <t>SAGIMET BIOSCIENCES SERIES A</t>
        </is>
      </c>
      <c r="C102" s="2" t="n"/>
      <c r="D102" s="2" t="n">
        <v>15100997.08</v>
      </c>
      <c r="E102" s="2">
        <f>N(D102)-N(C102)</f>
        <v/>
      </c>
      <c r="F102" s="3">
        <f>IF(N(C102)=0,"n/a",E102/C102)</f>
        <v/>
      </c>
      <c r="G102" t="inlineStr">
        <is>
          <t>신규(9/30에만 존재)</t>
        </is>
      </c>
    </row>
    <row r="103">
      <c r="A103" t="inlineStr">
        <is>
          <t>AVBP</t>
        </is>
      </c>
      <c r="B103" t="inlineStr">
        <is>
          <t>ARRIVENT BIOPHARMA</t>
        </is>
      </c>
      <c r="C103" s="2" t="n">
        <v>14669391.4</v>
      </c>
      <c r="D103" s="2" t="n">
        <v>29690781.48</v>
      </c>
      <c r="E103" s="2">
        <f>N(D103)-N(C103)</f>
        <v/>
      </c>
      <c r="F103" s="3">
        <f>IF(N(C103)=0,"n/a",E103/C103)</f>
        <v/>
      </c>
      <c r="G103" t="inlineStr"/>
    </row>
    <row r="104">
      <c r="A104" t="inlineStr">
        <is>
          <t>MMED</t>
        </is>
      </c>
      <c r="B104" t="inlineStr">
        <is>
          <t>MINIMED INC</t>
        </is>
      </c>
      <c r="C104" s="2" t="n"/>
      <c r="D104" s="2" t="n">
        <v>14593388.04</v>
      </c>
      <c r="E104" s="2">
        <f>N(D104)-N(C104)</f>
        <v/>
      </c>
      <c r="F104" s="3">
        <f>IF(N(C104)=0,"n/a",E104/C104)</f>
        <v/>
      </c>
      <c r="G104" t="inlineStr">
        <is>
          <t>신규(9/30에만 존재)</t>
        </is>
      </c>
    </row>
    <row r="105">
      <c r="A105" t="inlineStr">
        <is>
          <t>STTK</t>
        </is>
      </c>
      <c r="B105" t="inlineStr">
        <is>
          <t>SHATTUCK LABS INC</t>
        </is>
      </c>
      <c r="C105" s="2" t="n"/>
      <c r="D105" s="2" t="n">
        <v>14364781.86</v>
      </c>
      <c r="E105" s="2">
        <f>N(D105)-N(C105)</f>
        <v/>
      </c>
      <c r="F105" s="3">
        <f>IF(N(C105)=0,"n/a",E105/C105)</f>
        <v/>
      </c>
      <c r="G105" t="inlineStr">
        <is>
          <t>신규(9/30에만 존재)</t>
        </is>
      </c>
    </row>
    <row r="106">
      <c r="A106" t="inlineStr">
        <is>
          <t>AKTS</t>
        </is>
      </c>
      <c r="B106" t="inlineStr">
        <is>
          <t>AKTIS ONCOLOGY INC</t>
        </is>
      </c>
      <c r="C106" s="2" t="n"/>
      <c r="D106" s="2" t="n">
        <v>14232200.07</v>
      </c>
      <c r="E106" s="2">
        <f>N(D106)-N(C106)</f>
        <v/>
      </c>
      <c r="F106" s="3">
        <f>IF(N(C106)=0,"n/a",E106/C106)</f>
        <v/>
      </c>
      <c r="G106" t="inlineStr">
        <is>
          <t>신규(9/30에만 존재)</t>
        </is>
      </c>
    </row>
    <row r="107">
      <c r="A107" t="inlineStr">
        <is>
          <t>KLRA</t>
        </is>
      </c>
      <c r="B107" t="inlineStr">
        <is>
          <t>KAILERA THERAPEUTICS INC</t>
        </is>
      </c>
      <c r="C107" s="2" t="n"/>
      <c r="D107" s="2" t="n">
        <v>13701521.86</v>
      </c>
      <c r="E107" s="2">
        <f>N(D107)-N(C107)</f>
        <v/>
      </c>
      <c r="F107" s="3">
        <f>IF(N(C107)=0,"n/a",E107/C107)</f>
        <v/>
      </c>
      <c r="G107" t="inlineStr">
        <is>
          <t>신규(9/30에만 존재)</t>
        </is>
      </c>
    </row>
    <row r="108">
      <c r="A108" t="inlineStr">
        <is>
          <t>AVAH</t>
        </is>
      </c>
      <c r="B108" t="inlineStr">
        <is>
          <t>AVEANNA HEALTHCARE HOLDINGS INC</t>
        </is>
      </c>
      <c r="C108" s="2" t="n">
        <v>14305702.68</v>
      </c>
      <c r="D108" s="2" t="n">
        <v>27871867.2</v>
      </c>
      <c r="E108" s="2">
        <f>N(D108)-N(C108)</f>
        <v/>
      </c>
      <c r="F108" s="3">
        <f>IF(N(C108)=0,"n/a",E108/C108)</f>
        <v/>
      </c>
      <c r="G108" t="inlineStr"/>
    </row>
    <row r="109">
      <c r="A109" t="inlineStr">
        <is>
          <t>MRVI</t>
        </is>
      </c>
      <c r="B109" t="inlineStr">
        <is>
          <t>MARAVAI LIFESCIENCES HOLDINGS INC</t>
        </is>
      </c>
      <c r="C109" s="2" t="n">
        <v>8976883.5</v>
      </c>
      <c r="D109" s="2" t="n">
        <v>22449430.1</v>
      </c>
      <c r="E109" s="2">
        <f>N(D109)-N(C109)</f>
        <v/>
      </c>
      <c r="F109" s="3">
        <f>IF(N(C109)=0,"n/a",E109/C109)</f>
        <v/>
      </c>
      <c r="G109" t="inlineStr"/>
    </row>
    <row r="110">
      <c r="A110" t="inlineStr">
        <is>
          <t>COGT</t>
        </is>
      </c>
      <c r="B110" t="inlineStr">
        <is>
          <t>COGENT BIOSCIENCES</t>
        </is>
      </c>
      <c r="C110" s="2" t="n">
        <v>124754622.72</v>
      </c>
      <c r="D110" s="2" t="n">
        <v>138225793.16</v>
      </c>
      <c r="E110" s="2">
        <f>N(D110)-N(C110)</f>
        <v/>
      </c>
      <c r="F110" s="3">
        <f>IF(N(C110)=0,"n/a",E110/C110)</f>
        <v/>
      </c>
      <c r="G110" t="inlineStr"/>
    </row>
    <row r="111">
      <c r="A111" t="inlineStr">
        <is>
          <t>CRSP</t>
        </is>
      </c>
      <c r="B111" t="inlineStr">
        <is>
          <t>CRISPR THERAPEUTICS AG</t>
        </is>
      </c>
      <c r="C111" s="2" t="n">
        <v>115284358.2</v>
      </c>
      <c r="D111" s="2" t="n">
        <v>128647157.88</v>
      </c>
      <c r="E111" s="2">
        <f>N(D111)-N(C111)</f>
        <v/>
      </c>
      <c r="F111" s="3">
        <f>IF(N(C111)=0,"n/a",E111/C111)</f>
        <v/>
      </c>
      <c r="G111" t="inlineStr"/>
    </row>
    <row r="112">
      <c r="A112" t="inlineStr">
        <is>
          <t>AVLN</t>
        </is>
      </c>
      <c r="B112" t="inlineStr">
        <is>
          <t>AVALYN PHARMA INC</t>
        </is>
      </c>
      <c r="C112" s="2" t="n"/>
      <c r="D112" s="2" t="n">
        <v>13292436.85</v>
      </c>
      <c r="E112" s="2">
        <f>N(D112)-N(C112)</f>
        <v/>
      </c>
      <c r="F112" s="3">
        <f>IF(N(C112)=0,"n/a",E112/C112)</f>
        <v/>
      </c>
      <c r="G112" t="inlineStr">
        <is>
          <t>신규(9/30에만 존재)</t>
        </is>
      </c>
    </row>
    <row r="113">
      <c r="A113" t="inlineStr">
        <is>
          <t>CTMX</t>
        </is>
      </c>
      <c r="B113" t="inlineStr">
        <is>
          <t>CYTOMX THERAPEUTICS</t>
        </is>
      </c>
      <c r="C113" s="2" t="n"/>
      <c r="D113" s="2" t="n">
        <v>13279834.24</v>
      </c>
      <c r="E113" s="2">
        <f>N(D113)-N(C113)</f>
        <v/>
      </c>
      <c r="F113" s="3">
        <f>IF(N(C113)=0,"n/a",E113/C113)</f>
        <v/>
      </c>
      <c r="G113" t="inlineStr">
        <is>
          <t>신규(9/30에만 존재)</t>
        </is>
      </c>
    </row>
    <row r="114">
      <c r="A114" t="inlineStr">
        <is>
          <t>NUTX</t>
        </is>
      </c>
      <c r="B114" t="inlineStr">
        <is>
          <t>NUTEX HEALTH INC</t>
        </is>
      </c>
      <c r="C114" s="2" t="n">
        <v>14375441.5</v>
      </c>
      <c r="D114" s="2" t="n">
        <v>27563000.18</v>
      </c>
      <c r="E114" s="2">
        <f>N(D114)-N(C114)</f>
        <v/>
      </c>
      <c r="F114" s="3">
        <f>IF(N(C114)=0,"n/a",E114/C114)</f>
        <v/>
      </c>
      <c r="G114" t="inlineStr"/>
    </row>
    <row r="115">
      <c r="A115" t="inlineStr">
        <is>
          <t>VCYT</t>
        </is>
      </c>
      <c r="B115" t="inlineStr">
        <is>
          <t>VERACYTE</t>
        </is>
      </c>
      <c r="C115" s="2" t="n">
        <v>83316826.2</v>
      </c>
      <c r="D115" s="2" t="n">
        <v>96360246.72</v>
      </c>
      <c r="E115" s="2">
        <f>N(D115)-N(C115)</f>
        <v/>
      </c>
      <c r="F115" s="3">
        <f>IF(N(C115)=0,"n/a",E115/C115)</f>
        <v/>
      </c>
      <c r="G115" t="inlineStr"/>
    </row>
    <row r="116">
      <c r="A116" t="inlineStr">
        <is>
          <t>RCUS</t>
        </is>
      </c>
      <c r="B116" t="inlineStr">
        <is>
          <t>ARCUS BIOSCIENCES</t>
        </is>
      </c>
      <c r="C116" s="2" t="n">
        <v>47298856.35</v>
      </c>
      <c r="D116" s="2" t="n">
        <v>60050488.05</v>
      </c>
      <c r="E116" s="2">
        <f>N(D116)-N(C116)</f>
        <v/>
      </c>
      <c r="F116" s="3">
        <f>IF(N(C116)=0,"n/a",E116/C116)</f>
        <v/>
      </c>
      <c r="G116" t="inlineStr"/>
    </row>
    <row r="117">
      <c r="A117" t="inlineStr">
        <is>
          <t>STLN</t>
        </is>
      </c>
      <c r="B117" t="inlineStr">
        <is>
          <t>STARLING ONCOLOGY</t>
        </is>
      </c>
      <c r="C117" s="2" t="n"/>
      <c r="D117" s="2" t="n">
        <v>12709968.72</v>
      </c>
      <c r="E117" s="2">
        <f>N(D117)-N(C117)</f>
        <v/>
      </c>
      <c r="F117" s="3">
        <f>IF(N(C117)=0,"n/a",E117/C117)</f>
        <v/>
      </c>
      <c r="G117" t="inlineStr">
        <is>
          <t>신규(9/30에만 존재)</t>
        </is>
      </c>
    </row>
    <row r="118">
      <c r="A118" t="inlineStr">
        <is>
          <t>ORIC</t>
        </is>
      </c>
      <c r="B118" t="inlineStr">
        <is>
          <t>ORIC PHARMACEUTICALS</t>
        </is>
      </c>
      <c r="C118" s="2" t="n">
        <v>13494848.66</v>
      </c>
      <c r="D118" s="2" t="n">
        <v>26087631.87</v>
      </c>
      <c r="E118" s="2">
        <f>N(D118)-N(C118)</f>
        <v/>
      </c>
      <c r="F118" s="3">
        <f>IF(N(C118)=0,"n/a",E118/C118)</f>
        <v/>
      </c>
      <c r="G118" t="inlineStr"/>
    </row>
    <row r="119">
      <c r="A119" t="inlineStr">
        <is>
          <t>LBRX</t>
        </is>
      </c>
      <c r="B119" t="inlineStr">
        <is>
          <t>LB PHARMACEUTICALS INC</t>
        </is>
      </c>
      <c r="C119" s="2" t="n">
        <v>9766241.1</v>
      </c>
      <c r="D119" s="2" t="n">
        <v>22324763.26</v>
      </c>
      <c r="E119" s="2">
        <f>N(D119)-N(C119)</f>
        <v/>
      </c>
      <c r="F119" s="3">
        <f>IF(N(C119)=0,"n/a",E119/C119)</f>
        <v/>
      </c>
      <c r="G119" t="inlineStr"/>
    </row>
    <row r="120">
      <c r="A120" t="inlineStr">
        <is>
          <t>AGIO</t>
        </is>
      </c>
      <c r="B120" t="inlineStr">
        <is>
          <t>AGIOS PHARMACEUTICALS</t>
        </is>
      </c>
      <c r="C120" s="2" t="n">
        <v>38727309.44</v>
      </c>
      <c r="D120" s="2" t="n">
        <v>50814778</v>
      </c>
      <c r="E120" s="2">
        <f>N(D120)-N(C120)</f>
        <v/>
      </c>
      <c r="F120" s="3">
        <f>IF(N(C120)=0,"n/a",E120/C120)</f>
        <v/>
      </c>
      <c r="G120" t="inlineStr"/>
    </row>
    <row r="121">
      <c r="A121" t="inlineStr">
        <is>
          <t>ALMR</t>
        </is>
      </c>
      <c r="B121" t="inlineStr">
        <is>
          <t>ALAMAR BIOSCIENCES INC</t>
        </is>
      </c>
      <c r="C121" s="2" t="n"/>
      <c r="D121" s="2" t="n">
        <v>11756534.9</v>
      </c>
      <c r="E121" s="2">
        <f>N(D121)-N(C121)</f>
        <v/>
      </c>
      <c r="F121" s="3">
        <f>IF(N(C121)=0,"n/a",E121/C121)</f>
        <v/>
      </c>
      <c r="G121" t="inlineStr">
        <is>
          <t>신규(9/30에만 존재)</t>
        </is>
      </c>
    </row>
    <row r="122">
      <c r="A122" t="inlineStr">
        <is>
          <t>XERS</t>
        </is>
      </c>
      <c r="B122" t="inlineStr">
        <is>
          <t>XERIS BIOPHARMA HOLDINGS</t>
        </is>
      </c>
      <c r="C122" s="2" t="n">
        <v>30480027.1</v>
      </c>
      <c r="D122" s="2" t="n">
        <v>42227552.48</v>
      </c>
      <c r="E122" s="2">
        <f>N(D122)-N(C122)</f>
        <v/>
      </c>
      <c r="F122" s="3">
        <f>IF(N(C122)=0,"n/a",E122/C122)</f>
        <v/>
      </c>
      <c r="G122" t="inlineStr"/>
    </row>
    <row r="123">
      <c r="A123" t="inlineStr">
        <is>
          <t>TRVI</t>
        </is>
      </c>
      <c r="B123" t="inlineStr">
        <is>
          <t>TREVI THERAPEUTICS</t>
        </is>
      </c>
      <c r="C123" s="2" t="n">
        <v>28762020.72</v>
      </c>
      <c r="D123" s="2" t="n">
        <v>40380681.6</v>
      </c>
      <c r="E123" s="2">
        <f>N(D123)-N(C123)</f>
        <v/>
      </c>
      <c r="F123" s="3">
        <f>IF(N(C123)=0,"n/a",E123/C123)</f>
        <v/>
      </c>
      <c r="G123" t="inlineStr"/>
    </row>
    <row r="124">
      <c r="A124" t="inlineStr">
        <is>
          <t>AVR</t>
        </is>
      </c>
      <c r="B124" t="inlineStr">
        <is>
          <t>ANTERIS TECHNOLOGIES GLOBAL CORP</t>
        </is>
      </c>
      <c r="C124" s="2" t="n">
        <v>4154718.91</v>
      </c>
      <c r="D124" s="2" t="n">
        <v>15519805.77</v>
      </c>
      <c r="E124" s="2">
        <f>N(D124)-N(C124)</f>
        <v/>
      </c>
      <c r="F124" s="3">
        <f>IF(N(C124)=0,"n/a",E124/C124)</f>
        <v/>
      </c>
      <c r="G124" t="inlineStr"/>
    </row>
    <row r="125">
      <c r="A125" t="inlineStr">
        <is>
          <t>NRIX</t>
        </is>
      </c>
      <c r="B125" t="inlineStr">
        <is>
          <t>NURIX THERAPEUTICS</t>
        </is>
      </c>
      <c r="C125" s="2" t="n">
        <v>47900786.57</v>
      </c>
      <c r="D125" s="2" t="n">
        <v>59043732.66</v>
      </c>
      <c r="E125" s="2">
        <f>N(D125)-N(C125)</f>
        <v/>
      </c>
      <c r="F125" s="3">
        <f>IF(N(C125)=0,"n/a",E125/C125)</f>
        <v/>
      </c>
      <c r="G125" t="inlineStr"/>
    </row>
    <row r="126">
      <c r="A126" t="inlineStr">
        <is>
          <t>CADL</t>
        </is>
      </c>
      <c r="B126" t="inlineStr">
        <is>
          <t>CANDEL THERAPEUTICS INC</t>
        </is>
      </c>
      <c r="C126" s="2" t="n">
        <v>6207084.35</v>
      </c>
      <c r="D126" s="2" t="n">
        <v>17322048</v>
      </c>
      <c r="E126" s="2">
        <f>N(D126)-N(C126)</f>
        <v/>
      </c>
      <c r="F126" s="3">
        <f>IF(N(C126)=0,"n/a",E126/C126)</f>
        <v/>
      </c>
      <c r="G126" t="inlineStr"/>
    </row>
    <row r="127">
      <c r="A127" t="inlineStr">
        <is>
          <t>LXRX</t>
        </is>
      </c>
      <c r="B127" t="inlineStr">
        <is>
          <t>LEXICON PHARMACEUTICALS</t>
        </is>
      </c>
      <c r="C127" s="2" t="n"/>
      <c r="D127" s="2" t="n">
        <v>11083740</v>
      </c>
      <c r="E127" s="2">
        <f>N(D127)-N(C127)</f>
        <v/>
      </c>
      <c r="F127" s="3">
        <f>IF(N(C127)=0,"n/a",E127/C127)</f>
        <v/>
      </c>
      <c r="G127" t="inlineStr">
        <is>
          <t>신규(9/30에만 존재)</t>
        </is>
      </c>
    </row>
    <row r="128">
      <c r="A128" t="inlineStr">
        <is>
          <t>CLYM</t>
        </is>
      </c>
      <c r="B128" t="inlineStr">
        <is>
          <t>CLIMB BIO INC</t>
        </is>
      </c>
      <c r="C128" s="2" t="n"/>
      <c r="D128" s="2" t="n">
        <v>11003446.28</v>
      </c>
      <c r="E128" s="2">
        <f>N(D128)-N(C128)</f>
        <v/>
      </c>
      <c r="F128" s="3">
        <f>IF(N(C128)=0,"n/a",E128/C128)</f>
        <v/>
      </c>
      <c r="G128" t="inlineStr">
        <is>
          <t>신규(9/30에만 존재)</t>
        </is>
      </c>
    </row>
    <row r="129">
      <c r="A129" t="inlineStr">
        <is>
          <t>NVCR</t>
        </is>
      </c>
      <c r="B129" t="inlineStr">
        <is>
          <t>NOVOCURE</t>
        </is>
      </c>
      <c r="C129" s="2" t="n">
        <v>33195512.25</v>
      </c>
      <c r="D129" s="2" t="n">
        <v>44065894.4</v>
      </c>
      <c r="E129" s="2">
        <f>N(D129)-N(C129)</f>
        <v/>
      </c>
      <c r="F129" s="3">
        <f>IF(N(C129)=0,"n/a",E129/C129)</f>
        <v/>
      </c>
      <c r="G129" t="inlineStr"/>
    </row>
    <row r="130">
      <c r="A130" t="inlineStr">
        <is>
          <t>KARD</t>
        </is>
      </c>
      <c r="B130" t="inlineStr">
        <is>
          <t>KARDIGAN INC</t>
        </is>
      </c>
      <c r="C130" s="2" t="n"/>
      <c r="D130" s="2" t="n">
        <v>10860174.25</v>
      </c>
      <c r="E130" s="2">
        <f>N(D130)-N(C130)</f>
        <v/>
      </c>
      <c r="F130" s="3">
        <f>IF(N(C130)=0,"n/a",E130/C130)</f>
        <v/>
      </c>
      <c r="G130" t="inlineStr">
        <is>
          <t>신규(9/30에만 존재)</t>
        </is>
      </c>
    </row>
    <row r="131">
      <c r="A131" t="inlineStr">
        <is>
          <t>CBIO</t>
        </is>
      </c>
      <c r="B131" t="inlineStr">
        <is>
          <t>CRESCENT BIOPHARMA</t>
        </is>
      </c>
      <c r="C131" s="2" t="n"/>
      <c r="D131" s="2" t="n">
        <v>10768572.61</v>
      </c>
      <c r="E131" s="2">
        <f>N(D131)-N(C131)</f>
        <v/>
      </c>
      <c r="F131" s="3">
        <f>IF(N(C131)=0,"n/a",E131/C131)</f>
        <v/>
      </c>
      <c r="G131" t="inlineStr">
        <is>
          <t>신규(9/30에만 존재)</t>
        </is>
      </c>
    </row>
    <row r="132">
      <c r="A132" t="inlineStr">
        <is>
          <t>REPL</t>
        </is>
      </c>
      <c r="B132" t="inlineStr">
        <is>
          <t>REPLIMUNE GROUP</t>
        </is>
      </c>
      <c r="C132" s="2" t="n">
        <v>17006598</v>
      </c>
      <c r="D132" s="2" t="n">
        <v>27585460.56</v>
      </c>
      <c r="E132" s="2">
        <f>N(D132)-N(C132)</f>
        <v/>
      </c>
      <c r="F132" s="3">
        <f>IF(N(C132)=0,"n/a",E132/C132)</f>
        <v/>
      </c>
      <c r="G132" t="inlineStr"/>
    </row>
    <row r="133">
      <c r="A133" t="inlineStr">
        <is>
          <t>CYRX</t>
        </is>
      </c>
      <c r="B133" t="inlineStr">
        <is>
          <t>CRYOPORT</t>
        </is>
      </c>
      <c r="C133" s="2" t="n">
        <v>11719996.8</v>
      </c>
      <c r="D133" s="2" t="n">
        <v>22296603.6</v>
      </c>
      <c r="E133" s="2">
        <f>N(D133)-N(C133)</f>
        <v/>
      </c>
      <c r="F133" s="3">
        <f>IF(N(C133)=0,"n/a",E133/C133)</f>
        <v/>
      </c>
      <c r="G133" t="inlineStr"/>
    </row>
    <row r="134">
      <c r="A134" t="inlineStr">
        <is>
          <t>OVID</t>
        </is>
      </c>
      <c r="B134" t="inlineStr">
        <is>
          <t>OVID THERAPEUTICS</t>
        </is>
      </c>
      <c r="C134" s="2" t="n"/>
      <c r="D134" s="2" t="n">
        <v>10526056.68</v>
      </c>
      <c r="E134" s="2">
        <f>N(D134)-N(C134)</f>
        <v/>
      </c>
      <c r="F134" s="3">
        <f>IF(N(C134)=0,"n/a",E134/C134)</f>
        <v/>
      </c>
      <c r="G134" t="inlineStr">
        <is>
          <t>신규(9/30에만 존재)</t>
        </is>
      </c>
    </row>
    <row r="135">
      <c r="A135" t="inlineStr">
        <is>
          <t>PNTG</t>
        </is>
      </c>
      <c r="B135" t="inlineStr">
        <is>
          <t>PENNANT GROUP</t>
        </is>
      </c>
      <c r="C135" s="2" t="n">
        <v>24111516.55</v>
      </c>
      <c r="D135" s="2" t="n">
        <v>34275501</v>
      </c>
      <c r="E135" s="2">
        <f>N(D135)-N(C135)</f>
        <v/>
      </c>
      <c r="F135" s="3">
        <f>IF(N(C135)=0,"n/a",E135/C135)</f>
        <v/>
      </c>
      <c r="G135" t="inlineStr"/>
    </row>
    <row r="136">
      <c r="A136" t="inlineStr">
        <is>
          <t>CGEM</t>
        </is>
      </c>
      <c r="B136" t="inlineStr">
        <is>
          <t>CULLINAN THERAPEUTICS</t>
        </is>
      </c>
      <c r="C136" s="2" t="n">
        <v>13990219.2</v>
      </c>
      <c r="D136" s="2" t="n">
        <v>24102815.6</v>
      </c>
      <c r="E136" s="2">
        <f>N(D136)-N(C136)</f>
        <v/>
      </c>
      <c r="F136" s="3">
        <f>IF(N(C136)=0,"n/a",E136/C136)</f>
        <v/>
      </c>
      <c r="G136" t="inlineStr"/>
    </row>
    <row r="137">
      <c r="A137" t="inlineStr">
        <is>
          <t>INVA</t>
        </is>
      </c>
      <c r="B137" t="inlineStr">
        <is>
          <t>INNOVIVA</t>
        </is>
      </c>
      <c r="C137" s="2" t="n">
        <v>31449947.16</v>
      </c>
      <c r="D137" s="2" t="n">
        <v>41469961.68</v>
      </c>
      <c r="E137" s="2">
        <f>N(D137)-N(C137)</f>
        <v/>
      </c>
      <c r="F137" s="3">
        <f>IF(N(C137)=0,"n/a",E137/C137)</f>
        <v/>
      </c>
      <c r="G137" t="inlineStr"/>
    </row>
    <row r="138">
      <c r="A138" t="inlineStr">
        <is>
          <t>SENS</t>
        </is>
      </c>
      <c r="B138" t="inlineStr">
        <is>
          <t>SENSEONICS HOLDINGS INC</t>
        </is>
      </c>
      <c r="C138" s="2" t="n"/>
      <c r="D138" s="2" t="n">
        <v>9906891.93</v>
      </c>
      <c r="E138" s="2">
        <f>N(D138)-N(C138)</f>
        <v/>
      </c>
      <c r="F138" s="3">
        <f>IF(N(C138)=0,"n/a",E138/C138)</f>
        <v/>
      </c>
      <c r="G138" t="inlineStr">
        <is>
          <t>신규(9/30에만 존재)</t>
        </is>
      </c>
    </row>
    <row r="139">
      <c r="A139" t="inlineStr">
        <is>
          <t>FTRE</t>
        </is>
      </c>
      <c r="B139" t="inlineStr">
        <is>
          <t>FORTREA HOLDINGS INC</t>
        </is>
      </c>
      <c r="C139" s="2" t="n">
        <v>39962764.5</v>
      </c>
      <c r="D139" s="2" t="n">
        <v>49824486.6</v>
      </c>
      <c r="E139" s="2">
        <f>N(D139)-N(C139)</f>
        <v/>
      </c>
      <c r="F139" s="3">
        <f>IF(N(C139)=0,"n/a",E139/C139)</f>
        <v/>
      </c>
      <c r="G139" t="inlineStr"/>
    </row>
    <row r="140">
      <c r="A140" t="inlineStr">
        <is>
          <t>AGEN</t>
        </is>
      </c>
      <c r="B140" t="inlineStr">
        <is>
          <t>AGENUS INC</t>
        </is>
      </c>
      <c r="C140" s="2" t="n"/>
      <c r="D140" s="2" t="n">
        <v>9853390.050000001</v>
      </c>
      <c r="E140" s="2">
        <f>N(D140)-N(C140)</f>
        <v/>
      </c>
      <c r="F140" s="3">
        <f>IF(N(C140)=0,"n/a",E140/C140)</f>
        <v/>
      </c>
      <c r="G140" t="inlineStr">
        <is>
          <t>신규(9/30에만 존재)</t>
        </is>
      </c>
    </row>
    <row r="141">
      <c r="A141" t="inlineStr">
        <is>
          <t>CTNM</t>
        </is>
      </c>
      <c r="B141" t="inlineStr">
        <is>
          <t>CONTINEUM THERAPEUTICS CLASS A</t>
        </is>
      </c>
      <c r="C141" s="2" t="n"/>
      <c r="D141" s="2" t="n">
        <v>9625964.699999999</v>
      </c>
      <c r="E141" s="2">
        <f>N(D141)-N(C141)</f>
        <v/>
      </c>
      <c r="F141" s="3">
        <f>IF(N(C141)=0,"n/a",E141/C141)</f>
        <v/>
      </c>
      <c r="G141" t="inlineStr">
        <is>
          <t>신규(9/30에만 존재)</t>
        </is>
      </c>
    </row>
    <row r="142">
      <c r="A142" t="inlineStr">
        <is>
          <t>GENB</t>
        </is>
      </c>
      <c r="B142" t="inlineStr">
        <is>
          <t>GENERATE BIOMEDICINES INC</t>
        </is>
      </c>
      <c r="C142" s="2" t="n"/>
      <c r="D142" s="2" t="n">
        <v>9564796.08</v>
      </c>
      <c r="E142" s="2">
        <f>N(D142)-N(C142)</f>
        <v/>
      </c>
      <c r="F142" s="3">
        <f>IF(N(C142)=0,"n/a",E142/C142)</f>
        <v/>
      </c>
      <c r="G142" t="inlineStr">
        <is>
          <t>신규(9/30에만 존재)</t>
        </is>
      </c>
    </row>
    <row r="143">
      <c r="A143" t="inlineStr">
        <is>
          <t>ODTX</t>
        </is>
      </c>
      <c r="B143" t="inlineStr">
        <is>
          <t>ODYSSEY THERAPEUTICS INC</t>
        </is>
      </c>
      <c r="C143" s="2" t="n"/>
      <c r="D143" s="2" t="n">
        <v>9436478.48</v>
      </c>
      <c r="E143" s="2">
        <f>N(D143)-N(C143)</f>
        <v/>
      </c>
      <c r="F143" s="3">
        <f>IF(N(C143)=0,"n/a",E143/C143)</f>
        <v/>
      </c>
      <c r="G143" t="inlineStr">
        <is>
          <t>신규(9/30에만 존재)</t>
        </is>
      </c>
    </row>
    <row r="144">
      <c r="A144" t="inlineStr">
        <is>
          <t>OABI</t>
        </is>
      </c>
      <c r="B144" t="inlineStr">
        <is>
          <t>OMNIAB INC</t>
        </is>
      </c>
      <c r="C144" s="2" t="n">
        <v>4809470.9</v>
      </c>
      <c r="D144" s="2" t="n">
        <v>14186130.72</v>
      </c>
      <c r="E144" s="2">
        <f>N(D144)-N(C144)</f>
        <v/>
      </c>
      <c r="F144" s="3">
        <f>IF(N(C144)=0,"n/a",E144/C144)</f>
        <v/>
      </c>
      <c r="G144" t="inlineStr"/>
    </row>
    <row r="145">
      <c r="A145" t="inlineStr">
        <is>
          <t>FDMT</t>
        </is>
      </c>
      <c r="B145" t="inlineStr">
        <is>
          <t>4D MOLECULAR THERAPEUTICS INC</t>
        </is>
      </c>
      <c r="C145" s="2" t="n">
        <v>7664415</v>
      </c>
      <c r="D145" s="2" t="n">
        <v>16981219.08</v>
      </c>
      <c r="E145" s="2">
        <f>N(D145)-N(C145)</f>
        <v/>
      </c>
      <c r="F145" s="3">
        <f>IF(N(C145)=0,"n/a",E145/C145)</f>
        <v/>
      </c>
      <c r="G145" t="inlineStr"/>
    </row>
    <row r="146">
      <c r="A146" t="inlineStr">
        <is>
          <t>OCGN</t>
        </is>
      </c>
      <c r="B146" t="inlineStr">
        <is>
          <t>OCUGEN</t>
        </is>
      </c>
      <c r="C146" s="2" t="n"/>
      <c r="D146" s="2" t="n">
        <v>9227325.039999999</v>
      </c>
      <c r="E146" s="2">
        <f>N(D146)-N(C146)</f>
        <v/>
      </c>
      <c r="F146" s="3">
        <f>IF(N(C146)=0,"n/a",E146/C146)</f>
        <v/>
      </c>
      <c r="G146" t="inlineStr">
        <is>
          <t>신규(9/30에만 존재)</t>
        </is>
      </c>
    </row>
    <row r="147">
      <c r="A147" t="inlineStr">
        <is>
          <t>RLMD</t>
        </is>
      </c>
      <c r="B147" t="inlineStr">
        <is>
          <t>RELMADA THERAPEUTICS INC</t>
        </is>
      </c>
      <c r="C147" s="2" t="n"/>
      <c r="D147" s="2" t="n">
        <v>9226822.41</v>
      </c>
      <c r="E147" s="2">
        <f>N(D147)-N(C147)</f>
        <v/>
      </c>
      <c r="F147" s="3">
        <f>IF(N(C147)=0,"n/a",E147/C147)</f>
        <v/>
      </c>
      <c r="G147" t="inlineStr">
        <is>
          <t>신규(9/30에만 존재)</t>
        </is>
      </c>
    </row>
    <row r="148">
      <c r="A148" t="inlineStr">
        <is>
          <t>ACRS</t>
        </is>
      </c>
      <c r="B148" t="inlineStr">
        <is>
          <t>ACLARIS THERAPEUTICS</t>
        </is>
      </c>
      <c r="C148" s="2" t="n">
        <v>7047743.43</v>
      </c>
      <c r="D148" s="2" t="n">
        <v>16247871.74</v>
      </c>
      <c r="E148" s="2">
        <f>N(D148)-N(C148)</f>
        <v/>
      </c>
      <c r="F148" s="3">
        <f>IF(N(C148)=0,"n/a",E148/C148)</f>
        <v/>
      </c>
      <c r="G148" t="inlineStr"/>
    </row>
    <row r="149">
      <c r="A149" t="inlineStr">
        <is>
          <t>CCCC</t>
        </is>
      </c>
      <c r="B149" t="inlineStr">
        <is>
          <t>C4 THERAPEUTICS</t>
        </is>
      </c>
      <c r="C149" s="2" t="n"/>
      <c r="D149" s="2" t="n">
        <v>8913560.85</v>
      </c>
      <c r="E149" s="2">
        <f>N(D149)-N(C149)</f>
        <v/>
      </c>
      <c r="F149" s="3">
        <f>IF(N(C149)=0,"n/a",E149/C149)</f>
        <v/>
      </c>
      <c r="G149" t="inlineStr">
        <is>
          <t>신규(9/30에만 존재)</t>
        </is>
      </c>
    </row>
    <row r="150">
      <c r="A150" t="inlineStr">
        <is>
          <t>IRD</t>
        </is>
      </c>
      <c r="B150" t="inlineStr">
        <is>
          <t>OPUS GENETICS INC</t>
        </is>
      </c>
      <c r="C150" s="2" t="n"/>
      <c r="D150" s="2" t="n">
        <v>8670032.359999999</v>
      </c>
      <c r="E150" s="2">
        <f>N(D150)-N(C150)</f>
        <v/>
      </c>
      <c r="F150" s="3">
        <f>IF(N(C150)=0,"n/a",E150/C150)</f>
        <v/>
      </c>
      <c r="G150" t="inlineStr">
        <is>
          <t>신규(9/30에만 존재)</t>
        </is>
      </c>
    </row>
    <row r="151">
      <c r="A151" t="inlineStr">
        <is>
          <t>NVCT</t>
        </is>
      </c>
      <c r="B151" t="inlineStr">
        <is>
          <t>NUVECTIS PHARMA INC</t>
        </is>
      </c>
      <c r="C151" s="2" t="n">
        <v>2789211.6</v>
      </c>
      <c r="D151" s="2" t="n">
        <v>11349106.56</v>
      </c>
      <c r="E151" s="2">
        <f>N(D151)-N(C151)</f>
        <v/>
      </c>
      <c r="F151" s="3">
        <f>IF(N(C151)=0,"n/a",E151/C151)</f>
        <v/>
      </c>
      <c r="G151" t="inlineStr"/>
    </row>
    <row r="152">
      <c r="A152" t="inlineStr">
        <is>
          <t>XENE</t>
        </is>
      </c>
      <c r="B152" t="inlineStr">
        <is>
          <t>XENON PHARMACEUTICALS</t>
        </is>
      </c>
      <c r="C152" s="2" t="n">
        <v>85851455.04000001</v>
      </c>
      <c r="D152" s="2" t="n">
        <v>94378922.5</v>
      </c>
      <c r="E152" s="2">
        <f>N(D152)-N(C152)</f>
        <v/>
      </c>
      <c r="F152" s="3">
        <f>IF(N(C152)=0,"n/a",E152/C152)</f>
        <v/>
      </c>
      <c r="G152" t="inlineStr"/>
    </row>
    <row r="153">
      <c r="A153" t="inlineStr">
        <is>
          <t>BVS</t>
        </is>
      </c>
      <c r="B153" t="inlineStr">
        <is>
          <t>BIOVENTUS CLASS A</t>
        </is>
      </c>
      <c r="C153" s="2" t="n">
        <v>8710350.24</v>
      </c>
      <c r="D153" s="2" t="n">
        <v>17022452.48</v>
      </c>
      <c r="E153" s="2">
        <f>N(D153)-N(C153)</f>
        <v/>
      </c>
      <c r="F153" s="3">
        <f>IF(N(C153)=0,"n/a",E153/C153)</f>
        <v/>
      </c>
      <c r="G153" t="inlineStr"/>
    </row>
    <row r="154">
      <c r="A154" t="inlineStr">
        <is>
          <t>CABA</t>
        </is>
      </c>
      <c r="B154" t="inlineStr">
        <is>
          <t>CABALETTA BIO</t>
        </is>
      </c>
      <c r="C154" s="2" t="n"/>
      <c r="D154" s="2" t="n">
        <v>8102035.2</v>
      </c>
      <c r="E154" s="2">
        <f>N(D154)-N(C154)</f>
        <v/>
      </c>
      <c r="F154" s="3">
        <f>IF(N(C154)=0,"n/a",E154/C154)</f>
        <v/>
      </c>
      <c r="G154" t="inlineStr">
        <is>
          <t>신규(9/30에만 존재)</t>
        </is>
      </c>
    </row>
    <row r="155">
      <c r="A155" t="inlineStr">
        <is>
          <t>IMNM</t>
        </is>
      </c>
      <c r="B155" t="inlineStr">
        <is>
          <t>IMMUNOME</t>
        </is>
      </c>
      <c r="C155" s="2" t="n">
        <v>50655983.28</v>
      </c>
      <c r="D155" s="2" t="n">
        <v>58733657.28</v>
      </c>
      <c r="E155" s="2">
        <f>N(D155)-N(C155)</f>
        <v/>
      </c>
      <c r="F155" s="3">
        <f>IF(N(C155)=0,"n/a",E155/C155)</f>
        <v/>
      </c>
      <c r="G155" t="inlineStr"/>
    </row>
    <row r="156">
      <c r="A156" t="inlineStr">
        <is>
          <t>MLAB</t>
        </is>
      </c>
      <c r="B156" t="inlineStr">
        <is>
          <t>MESA LABORATORIES</t>
        </is>
      </c>
      <c r="C156" s="2" t="n">
        <v>10348812</v>
      </c>
      <c r="D156" s="2" t="n">
        <v>18416915.96</v>
      </c>
      <c r="E156" s="2">
        <f>N(D156)-N(C156)</f>
        <v/>
      </c>
      <c r="F156" s="3">
        <f>IF(N(C156)=0,"n/a",E156/C156)</f>
        <v/>
      </c>
      <c r="G156" t="inlineStr"/>
    </row>
    <row r="157">
      <c r="A157" t="inlineStr">
        <is>
          <t>MD</t>
        </is>
      </c>
      <c r="B157" t="inlineStr">
        <is>
          <t>PEDIATRIX MEDICAL GROUP INC</t>
        </is>
      </c>
      <c r="C157" s="2" t="n">
        <v>46841212.35</v>
      </c>
      <c r="D157" s="2" t="n">
        <v>54883247.85</v>
      </c>
      <c r="E157" s="2">
        <f>N(D157)-N(C157)</f>
        <v/>
      </c>
      <c r="F157" s="3">
        <f>IF(N(C157)=0,"n/a",E157/C157)</f>
        <v/>
      </c>
      <c r="G157" t="inlineStr"/>
    </row>
    <row r="158">
      <c r="A158" t="inlineStr">
        <is>
          <t>MGTX</t>
        </is>
      </c>
      <c r="B158" t="inlineStr">
        <is>
          <t>MEIRAGTX HOLDINGS PLC</t>
        </is>
      </c>
      <c r="C158" s="2" t="n">
        <v>8954705.1</v>
      </c>
      <c r="D158" s="2" t="n">
        <v>16980183</v>
      </c>
      <c r="E158" s="2">
        <f>N(D158)-N(C158)</f>
        <v/>
      </c>
      <c r="F158" s="3">
        <f>IF(N(C158)=0,"n/a",E158/C158)</f>
        <v/>
      </c>
      <c r="G158" t="inlineStr"/>
    </row>
    <row r="159">
      <c r="A159" t="inlineStr">
        <is>
          <t>ASMB</t>
        </is>
      </c>
      <c r="B159" t="inlineStr">
        <is>
          <t>ASSEMBLY BIOSCIENCES INC</t>
        </is>
      </c>
      <c r="C159" s="2" t="n"/>
      <c r="D159" s="2" t="n">
        <v>8003724.21</v>
      </c>
      <c r="E159" s="2">
        <f>N(D159)-N(C159)</f>
        <v/>
      </c>
      <c r="F159" s="3">
        <f>IF(N(C159)=0,"n/a",E159/C159)</f>
        <v/>
      </c>
      <c r="G159" t="inlineStr">
        <is>
          <t>신규(9/30에만 존재)</t>
        </is>
      </c>
    </row>
    <row r="160">
      <c r="A160" t="inlineStr">
        <is>
          <t>VREX</t>
        </is>
      </c>
      <c r="B160" t="inlineStr">
        <is>
          <t>VAREX IMAGING</t>
        </is>
      </c>
      <c r="C160" s="2" t="n">
        <v>12220535.45</v>
      </c>
      <c r="D160" s="2" t="n">
        <v>20156329.8</v>
      </c>
      <c r="E160" s="2">
        <f>N(D160)-N(C160)</f>
        <v/>
      </c>
      <c r="F160" s="3">
        <f>IF(N(C160)=0,"n/a",E160/C160)</f>
        <v/>
      </c>
      <c r="G160" t="inlineStr"/>
    </row>
    <row r="161">
      <c r="A161" t="inlineStr">
        <is>
          <t>CRVS</t>
        </is>
      </c>
      <c r="B161" t="inlineStr">
        <is>
          <t>CORVUS PHARMACEUTICALS</t>
        </is>
      </c>
      <c r="C161" s="2" t="n">
        <v>11206094.9</v>
      </c>
      <c r="D161" s="2" t="n">
        <v>19106484.48</v>
      </c>
      <c r="E161" s="2">
        <f>N(D161)-N(C161)</f>
        <v/>
      </c>
      <c r="F161" s="3">
        <f>IF(N(C161)=0,"n/a",E161/C161)</f>
        <v/>
      </c>
      <c r="G161" t="inlineStr"/>
    </row>
    <row r="162">
      <c r="A162" t="inlineStr">
        <is>
          <t>ZBIO</t>
        </is>
      </c>
      <c r="B162" t="inlineStr">
        <is>
          <t>ZENAS BIOPHARMA</t>
        </is>
      </c>
      <c r="C162" s="2" t="n">
        <v>17234033.16</v>
      </c>
      <c r="D162" s="2" t="n">
        <v>25125683.52</v>
      </c>
      <c r="E162" s="2">
        <f>N(D162)-N(C162)</f>
        <v/>
      </c>
      <c r="F162" s="3">
        <f>IF(N(C162)=0,"n/a",E162/C162)</f>
        <v/>
      </c>
      <c r="G162" t="inlineStr"/>
    </row>
    <row r="163">
      <c r="A163" t="inlineStr">
        <is>
          <t>CRVL</t>
        </is>
      </c>
      <c r="B163" t="inlineStr">
        <is>
          <t>CORVEL</t>
        </is>
      </c>
      <c r="C163" s="2" t="n">
        <v>48916003.87</v>
      </c>
      <c r="D163" s="2" t="n">
        <v>56791519.05</v>
      </c>
      <c r="E163" s="2">
        <f>N(D163)-N(C163)</f>
        <v/>
      </c>
      <c r="F163" s="3">
        <f>IF(N(C163)=0,"n/a",E163/C163)</f>
        <v/>
      </c>
      <c r="G163" t="inlineStr"/>
    </row>
    <row r="164">
      <c r="A164" t="inlineStr">
        <is>
          <t>GMRS</t>
        </is>
      </c>
      <c r="B164" t="inlineStr">
        <is>
          <t>GMR SOLUTIONS INC CLASS A</t>
        </is>
      </c>
      <c r="C164" s="2" t="n"/>
      <c r="D164" s="2" t="n">
        <v>7847101.8</v>
      </c>
      <c r="E164" s="2">
        <f>N(D164)-N(C164)</f>
        <v/>
      </c>
      <c r="F164" s="3">
        <f>IF(N(C164)=0,"n/a",E164/C164)</f>
        <v/>
      </c>
      <c r="G164" t="inlineStr">
        <is>
          <t>신규(9/30에만 존재)</t>
        </is>
      </c>
    </row>
    <row r="165">
      <c r="A165" t="inlineStr">
        <is>
          <t>BCAX</t>
        </is>
      </c>
      <c r="B165" t="inlineStr">
        <is>
          <t>BICARA THERAPEUTICS INC</t>
        </is>
      </c>
      <c r="C165" s="2" t="n">
        <v>13539852.81</v>
      </c>
      <c r="D165" s="2" t="n">
        <v>21290249.42</v>
      </c>
      <c r="E165" s="2">
        <f>N(D165)-N(C165)</f>
        <v/>
      </c>
      <c r="F165" s="3">
        <f>IF(N(C165)=0,"n/a",E165/C165)</f>
        <v/>
      </c>
      <c r="G165" t="inlineStr"/>
    </row>
    <row r="166">
      <c r="A166" t="inlineStr">
        <is>
          <t>VCEL</t>
        </is>
      </c>
      <c r="B166" t="inlineStr">
        <is>
          <t>VERICEL</t>
        </is>
      </c>
      <c r="C166" s="2" t="n">
        <v>45597518.46</v>
      </c>
      <c r="D166" s="2" t="n">
        <v>53315152.2</v>
      </c>
      <c r="E166" s="2">
        <f>N(D166)-N(C166)</f>
        <v/>
      </c>
      <c r="F166" s="3">
        <f>IF(N(C166)=0,"n/a",E166/C166)</f>
        <v/>
      </c>
      <c r="G166" t="inlineStr"/>
    </row>
    <row r="167">
      <c r="A167" t="inlineStr">
        <is>
          <t>IART</t>
        </is>
      </c>
      <c r="B167" t="inlineStr">
        <is>
          <t>INTEGRA LIFESCIENCES HOLDINGS</t>
        </is>
      </c>
      <c r="C167" s="2" t="n">
        <v>21090402</v>
      </c>
      <c r="D167" s="2" t="n">
        <v>28767167</v>
      </c>
      <c r="E167" s="2">
        <f>N(D167)-N(C167)</f>
        <v/>
      </c>
      <c r="F167" s="3">
        <f>IF(N(C167)=0,"n/a",E167/C167)</f>
        <v/>
      </c>
      <c r="G167" t="inlineStr"/>
    </row>
    <row r="168">
      <c r="A168" t="inlineStr">
        <is>
          <t>KYTX</t>
        </is>
      </c>
      <c r="B168" t="inlineStr">
        <is>
          <t>KYVERNA THERAPEUTICS</t>
        </is>
      </c>
      <c r="C168" s="2" t="n"/>
      <c r="D168" s="2" t="n">
        <v>7540601.6</v>
      </c>
      <c r="E168" s="2">
        <f>N(D168)-N(C168)</f>
        <v/>
      </c>
      <c r="F168" s="3">
        <f>IF(N(C168)=0,"n/a",E168/C168)</f>
        <v/>
      </c>
      <c r="G168" t="inlineStr">
        <is>
          <t>신규(9/30에만 존재)</t>
        </is>
      </c>
    </row>
    <row r="169">
      <c r="A169" t="inlineStr">
        <is>
          <t>DNA</t>
        </is>
      </c>
      <c r="B169" t="inlineStr">
        <is>
          <t>GINKGO BIOWORKS HOLDINGS CLASS A</t>
        </is>
      </c>
      <c r="C169" s="2" t="n">
        <v>8622755.16</v>
      </c>
      <c r="D169" s="2" t="n">
        <v>16140512.07</v>
      </c>
      <c r="E169" s="2">
        <f>N(D169)-N(C169)</f>
        <v/>
      </c>
      <c r="F169" s="3">
        <f>IF(N(C169)=0,"n/a",E169/C169)</f>
        <v/>
      </c>
      <c r="G169" t="inlineStr"/>
    </row>
    <row r="170">
      <c r="A170" t="inlineStr">
        <is>
          <t>SEPN</t>
        </is>
      </c>
      <c r="B170" t="inlineStr">
        <is>
          <t>SEPTERNA</t>
        </is>
      </c>
      <c r="C170" s="2" t="n">
        <v>15090496.08</v>
      </c>
      <c r="D170" s="2" t="n">
        <v>22484254.52</v>
      </c>
      <c r="E170" s="2">
        <f>N(D170)-N(C170)</f>
        <v/>
      </c>
      <c r="F170" s="3">
        <f>IF(N(C170)=0,"n/a",E170/C170)</f>
        <v/>
      </c>
      <c r="G170" t="inlineStr"/>
    </row>
    <row r="171">
      <c r="A171" t="inlineStr">
        <is>
          <t>PACS</t>
        </is>
      </c>
      <c r="B171" t="inlineStr">
        <is>
          <t>PACS GROUP</t>
        </is>
      </c>
      <c r="C171" s="2" t="n">
        <v>42885507.39</v>
      </c>
      <c r="D171" s="2" t="n">
        <v>50125338.3</v>
      </c>
      <c r="E171" s="2">
        <f>N(D171)-N(C171)</f>
        <v/>
      </c>
      <c r="F171" s="3">
        <f>IF(N(C171)=0,"n/a",E171/C171)</f>
        <v/>
      </c>
      <c r="G171" t="inlineStr"/>
    </row>
    <row r="172">
      <c r="A172" t="inlineStr">
        <is>
          <t>BCRX</t>
        </is>
      </c>
      <c r="B172" t="inlineStr">
        <is>
          <t>BIOCRYST PHARMACEUTICALS</t>
        </is>
      </c>
      <c r="C172" s="2" t="n">
        <v>41012563.8</v>
      </c>
      <c r="D172" s="2" t="n">
        <v>48241828.88</v>
      </c>
      <c r="E172" s="2">
        <f>N(D172)-N(C172)</f>
        <v/>
      </c>
      <c r="F172" s="3">
        <f>IF(N(C172)=0,"n/a",E172/C172)</f>
        <v/>
      </c>
      <c r="G172" t="inlineStr"/>
    </row>
    <row r="173">
      <c r="A173" t="inlineStr">
        <is>
          <t>SPTX</t>
        </is>
      </c>
      <c r="B173" t="inlineStr">
        <is>
          <t>SEAPORT THERAPEUTICS INC</t>
        </is>
      </c>
      <c r="C173" s="2" t="n"/>
      <c r="D173" s="2" t="n">
        <v>7163557.03</v>
      </c>
      <c r="E173" s="2">
        <f>N(D173)-N(C173)</f>
        <v/>
      </c>
      <c r="F173" s="3">
        <f>IF(N(C173)=0,"n/a",E173/C173)</f>
        <v/>
      </c>
      <c r="G173" t="inlineStr">
        <is>
          <t>신규(9/30에만 존재)</t>
        </is>
      </c>
    </row>
    <row r="174">
      <c r="A174" t="inlineStr">
        <is>
          <t>OMER</t>
        </is>
      </c>
      <c r="B174" t="inlineStr">
        <is>
          <t>OMEROS</t>
        </is>
      </c>
      <c r="C174" s="2" t="n">
        <v>28425208.95</v>
      </c>
      <c r="D174" s="2" t="n">
        <v>35550593.12</v>
      </c>
      <c r="E174" s="2">
        <f>N(D174)-N(C174)</f>
        <v/>
      </c>
      <c r="F174" s="3">
        <f>IF(N(C174)=0,"n/a",E174/C174)</f>
        <v/>
      </c>
      <c r="G174" t="inlineStr"/>
    </row>
    <row r="175">
      <c r="A175" t="inlineStr">
        <is>
          <t>VSTM</t>
        </is>
      </c>
      <c r="B175" t="inlineStr">
        <is>
          <t>VERASTEM INC</t>
        </is>
      </c>
      <c r="C175" s="2" t="n">
        <v>10259092.56</v>
      </c>
      <c r="D175" s="2" t="n">
        <v>17221864.1</v>
      </c>
      <c r="E175" s="2">
        <f>N(D175)-N(C175)</f>
        <v/>
      </c>
      <c r="F175" s="3">
        <f>IF(N(C175)=0,"n/a",E175/C175)</f>
        <v/>
      </c>
      <c r="G175" t="inlineStr"/>
    </row>
    <row r="176">
      <c r="A176" t="inlineStr">
        <is>
          <t>KMTS</t>
        </is>
      </c>
      <c r="B176" t="inlineStr">
        <is>
          <t>KESTRA MEDICAL TECHNOLOGIES</t>
        </is>
      </c>
      <c r="C176" s="2" t="n">
        <v>12884025.96</v>
      </c>
      <c r="D176" s="2" t="n">
        <v>19707436.38</v>
      </c>
      <c r="E176" s="2">
        <f>N(D176)-N(C176)</f>
        <v/>
      </c>
      <c r="F176" s="3">
        <f>IF(N(C176)=0,"n/a",E176/C176)</f>
        <v/>
      </c>
      <c r="G176" t="inlineStr"/>
    </row>
    <row r="177">
      <c r="A177" t="inlineStr">
        <is>
          <t>APMD</t>
        </is>
      </c>
      <c r="B177" t="inlineStr">
        <is>
          <t>APNIMED INC</t>
        </is>
      </c>
      <c r="C177" s="2" t="n"/>
      <c r="D177" s="2" t="n">
        <v>6749375.5</v>
      </c>
      <c r="E177" s="2">
        <f>N(D177)-N(C177)</f>
        <v/>
      </c>
      <c r="F177" s="3">
        <f>IF(N(C177)=0,"n/a",E177/C177)</f>
        <v/>
      </c>
      <c r="G177" t="inlineStr">
        <is>
          <t>신규(9/30에만 존재)</t>
        </is>
      </c>
    </row>
    <row r="178">
      <c r="A178" t="inlineStr">
        <is>
          <t>INBX</t>
        </is>
      </c>
      <c r="B178" t="inlineStr">
        <is>
          <t>INHIBRX BIOSCIENCES INC</t>
        </is>
      </c>
      <c r="C178" s="2" t="n">
        <v>18287631</v>
      </c>
      <c r="D178" s="2" t="n">
        <v>24803727.12</v>
      </c>
      <c r="E178" s="2">
        <f>N(D178)-N(C178)</f>
        <v/>
      </c>
      <c r="F178" s="3">
        <f>IF(N(C178)=0,"n/a",E178/C178)</f>
        <v/>
      </c>
      <c r="G178" t="inlineStr"/>
    </row>
    <row r="179">
      <c r="A179" t="inlineStr">
        <is>
          <t>EIKN</t>
        </is>
      </c>
      <c r="B179" t="inlineStr">
        <is>
          <t>EIKON THERAPEUTICS</t>
        </is>
      </c>
      <c r="C179" s="2" t="n"/>
      <c r="D179" s="2" t="n">
        <v>6512142.72</v>
      </c>
      <c r="E179" s="2">
        <f>N(D179)-N(C179)</f>
        <v/>
      </c>
      <c r="F179" s="3">
        <f>IF(N(C179)=0,"n/a",E179/C179)</f>
        <v/>
      </c>
      <c r="G179" t="inlineStr">
        <is>
          <t>신규(9/30에만 존재)</t>
        </is>
      </c>
    </row>
    <row r="180">
      <c r="A180" t="inlineStr">
        <is>
          <t>JANX</t>
        </is>
      </c>
      <c r="B180" t="inlineStr">
        <is>
          <t>JANUX THERAPEUTICS</t>
        </is>
      </c>
      <c r="C180" s="2" t="n">
        <v>14713242.6</v>
      </c>
      <c r="D180" s="2" t="n">
        <v>21209005.44</v>
      </c>
      <c r="E180" s="2">
        <f>N(D180)-N(C180)</f>
        <v/>
      </c>
      <c r="F180" s="3">
        <f>IF(N(C180)=0,"n/a",E180/C180)</f>
        <v/>
      </c>
      <c r="G180" t="inlineStr"/>
    </row>
    <row r="181">
      <c r="A181" t="inlineStr">
        <is>
          <t>SGP</t>
        </is>
      </c>
      <c r="B181" t="inlineStr">
        <is>
          <t>SPYGLASS PHARMA SHS</t>
        </is>
      </c>
      <c r="C181" s="2" t="n"/>
      <c r="D181" s="2" t="n">
        <v>6371144</v>
      </c>
      <c r="E181" s="2">
        <f>N(D181)-N(C181)</f>
        <v/>
      </c>
      <c r="F181" s="3">
        <f>IF(N(C181)=0,"n/a",E181/C181)</f>
        <v/>
      </c>
      <c r="G181" t="inlineStr">
        <is>
          <t>신규(9/30에만 존재)</t>
        </is>
      </c>
    </row>
    <row r="182">
      <c r="A182" t="inlineStr">
        <is>
          <t>ZURA</t>
        </is>
      </c>
      <c r="B182" t="inlineStr">
        <is>
          <t>ZURA BIO LTD CLASS A</t>
        </is>
      </c>
      <c r="C182" s="2" t="n"/>
      <c r="D182" s="2" t="n">
        <v>6364770.88</v>
      </c>
      <c r="E182" s="2">
        <f>N(D182)-N(C182)</f>
        <v/>
      </c>
      <c r="F182" s="3">
        <f>IF(N(C182)=0,"n/a",E182/C182)</f>
        <v/>
      </c>
      <c r="G182" t="inlineStr">
        <is>
          <t>신규(9/30에만 존재)</t>
        </is>
      </c>
    </row>
    <row r="183">
      <c r="A183" t="inlineStr">
        <is>
          <t>INFU</t>
        </is>
      </c>
      <c r="B183" t="inlineStr">
        <is>
          <t>INFUSYSTEM HOLDINGS INC</t>
        </is>
      </c>
      <c r="C183" s="2" t="n"/>
      <c r="D183" s="2" t="n">
        <v>6272854.05</v>
      </c>
      <c r="E183" s="2">
        <f>N(D183)-N(C183)</f>
        <v/>
      </c>
      <c r="F183" s="3">
        <f>IF(N(C183)=0,"n/a",E183/C183)</f>
        <v/>
      </c>
      <c r="G183" t="inlineStr">
        <is>
          <t>신규(9/30에만 존재)</t>
        </is>
      </c>
    </row>
    <row r="184">
      <c r="A184" t="inlineStr">
        <is>
          <t>NGNE</t>
        </is>
      </c>
      <c r="B184" t="inlineStr">
        <is>
          <t>NEUROGENE</t>
        </is>
      </c>
      <c r="C184" s="2" t="n">
        <v>4996571.2</v>
      </c>
      <c r="D184" s="2" t="n">
        <v>11229209.16</v>
      </c>
      <c r="E184" s="2">
        <f>N(D184)-N(C184)</f>
        <v/>
      </c>
      <c r="F184" s="3">
        <f>IF(N(C184)=0,"n/a",E184/C184)</f>
        <v/>
      </c>
      <c r="G184" t="inlineStr"/>
    </row>
    <row r="185">
      <c r="A185" t="inlineStr">
        <is>
          <t>XFOR</t>
        </is>
      </c>
      <c r="B185" t="inlineStr">
        <is>
          <t>X4 PHARMACEUTICALS</t>
        </is>
      </c>
      <c r="C185" s="2" t="n"/>
      <c r="D185" s="2" t="n">
        <v>6197369.6</v>
      </c>
      <c r="E185" s="2">
        <f>N(D185)-N(C185)</f>
        <v/>
      </c>
      <c r="F185" s="3">
        <f>IF(N(C185)=0,"n/a",E185/C185)</f>
        <v/>
      </c>
      <c r="G185" t="inlineStr">
        <is>
          <t>신규(9/30에만 존재)</t>
        </is>
      </c>
    </row>
    <row r="186">
      <c r="A186" t="inlineStr">
        <is>
          <t>ALT</t>
        </is>
      </c>
      <c r="B186" t="inlineStr">
        <is>
          <t>ALTIMMUNE INC</t>
        </is>
      </c>
      <c r="C186" s="2" t="n">
        <v>8046563.65</v>
      </c>
      <c r="D186" s="2" t="n">
        <v>14223586.52</v>
      </c>
      <c r="E186" s="2">
        <f>N(D186)-N(C186)</f>
        <v/>
      </c>
      <c r="F186" s="3">
        <f>IF(N(C186)=0,"n/a",E186/C186)</f>
        <v/>
      </c>
      <c r="G186" t="inlineStr"/>
    </row>
    <row r="187">
      <c r="A187" t="inlineStr">
        <is>
          <t>SRZN</t>
        </is>
      </c>
      <c r="B187" t="inlineStr">
        <is>
          <t>SURROZEN</t>
        </is>
      </c>
      <c r="C187" s="2" t="n"/>
      <c r="D187" s="2" t="n">
        <v>6139493.48</v>
      </c>
      <c r="E187" s="2">
        <f>N(D187)-N(C187)</f>
        <v/>
      </c>
      <c r="F187" s="3">
        <f>IF(N(C187)=0,"n/a",E187/C187)</f>
        <v/>
      </c>
      <c r="G187" t="inlineStr">
        <is>
          <t>신규(9/30에만 존재)</t>
        </is>
      </c>
    </row>
    <row r="188">
      <c r="A188" t="inlineStr">
        <is>
          <t>OBIO</t>
        </is>
      </c>
      <c r="B188" t="inlineStr">
        <is>
          <t>ORCHESTRA BIOMED HOLDINGS INC</t>
        </is>
      </c>
      <c r="C188" s="2" t="n"/>
      <c r="D188" s="2" t="n">
        <v>6135103.22</v>
      </c>
      <c r="E188" s="2">
        <f>N(D188)-N(C188)</f>
        <v/>
      </c>
      <c r="F188" s="3">
        <f>IF(N(C188)=0,"n/a",E188/C188)</f>
        <v/>
      </c>
      <c r="G188" t="inlineStr">
        <is>
          <t>신규(9/30에만 존재)</t>
        </is>
      </c>
    </row>
    <row r="189">
      <c r="A189" t="inlineStr">
        <is>
          <t>STRO</t>
        </is>
      </c>
      <c r="B189" t="inlineStr">
        <is>
          <t>SUTRO BIOPHARMA INC</t>
        </is>
      </c>
      <c r="C189" s="2" t="n"/>
      <c r="D189" s="2" t="n">
        <v>6115533.21</v>
      </c>
      <c r="E189" s="2">
        <f>N(D189)-N(C189)</f>
        <v/>
      </c>
      <c r="F189" s="3">
        <f>IF(N(C189)=0,"n/a",E189/C189)</f>
        <v/>
      </c>
      <c r="G189" t="inlineStr">
        <is>
          <t>신규(9/30에만 존재)</t>
        </is>
      </c>
    </row>
    <row r="190">
      <c r="A190" t="inlineStr">
        <is>
          <t>MGNX</t>
        </is>
      </c>
      <c r="B190" t="inlineStr">
        <is>
          <t>MACROGENICS INC</t>
        </is>
      </c>
      <c r="C190" s="2" t="n"/>
      <c r="D190" s="2" t="n">
        <v>6054741.96</v>
      </c>
      <c r="E190" s="2">
        <f>N(D190)-N(C190)</f>
        <v/>
      </c>
      <c r="F190" s="3">
        <f>IF(N(C190)=0,"n/a",E190/C190)</f>
        <v/>
      </c>
      <c r="G190" t="inlineStr">
        <is>
          <t>신규(9/30에만 존재)</t>
        </is>
      </c>
    </row>
    <row r="191">
      <c r="A191" t="inlineStr">
        <is>
          <t>ALLO</t>
        </is>
      </c>
      <c r="B191" t="inlineStr">
        <is>
          <t>ALLOGENE THERAPEUTICS</t>
        </is>
      </c>
      <c r="C191" s="2" t="n">
        <v>5196626.46</v>
      </c>
      <c r="D191" s="2" t="n">
        <v>11122340.8</v>
      </c>
      <c r="E191" s="2">
        <f>N(D191)-N(C191)</f>
        <v/>
      </c>
      <c r="F191" s="3">
        <f>IF(N(C191)=0,"n/a",E191/C191)</f>
        <v/>
      </c>
      <c r="G191" t="inlineStr"/>
    </row>
    <row r="192">
      <c r="A192" t="inlineStr">
        <is>
          <t>IMRX</t>
        </is>
      </c>
      <c r="B192" t="inlineStr">
        <is>
          <t>IMMUNEERING CLASS A</t>
        </is>
      </c>
      <c r="C192" s="2" t="n"/>
      <c r="D192" s="2" t="n">
        <v>5826402.85</v>
      </c>
      <c r="E192" s="2">
        <f>N(D192)-N(C192)</f>
        <v/>
      </c>
      <c r="F192" s="3">
        <f>IF(N(C192)=0,"n/a",E192/C192)</f>
        <v/>
      </c>
      <c r="G192" t="inlineStr">
        <is>
          <t>신규(9/30에만 존재)</t>
        </is>
      </c>
    </row>
    <row r="193">
      <c r="A193" t="inlineStr">
        <is>
          <t>SLDB</t>
        </is>
      </c>
      <c r="B193" t="inlineStr">
        <is>
          <t>SOLID BIOSCIENCES INC</t>
        </is>
      </c>
      <c r="C193" s="2" t="n">
        <v>8564311.800000001</v>
      </c>
      <c r="D193" s="2" t="n">
        <v>14224135.71</v>
      </c>
      <c r="E193" s="2">
        <f>N(D193)-N(C193)</f>
        <v/>
      </c>
      <c r="F193" s="3">
        <f>IF(N(C193)=0,"n/a",E193/C193)</f>
        <v/>
      </c>
      <c r="G193" t="inlineStr"/>
    </row>
    <row r="194">
      <c r="A194" t="inlineStr">
        <is>
          <t>ARCT</t>
        </is>
      </c>
      <c r="B194" t="inlineStr">
        <is>
          <t>ARCTURUS THERAPEUTICS HOLDINGS INC</t>
        </is>
      </c>
      <c r="C194" s="2" t="n">
        <v>3947591.27</v>
      </c>
      <c r="D194" s="2" t="n">
        <v>9577838.869999999</v>
      </c>
      <c r="E194" s="2">
        <f>N(D194)-N(C194)</f>
        <v/>
      </c>
      <c r="F194" s="3">
        <f>IF(N(C194)=0,"n/a",E194/C194)</f>
        <v/>
      </c>
      <c r="G194" t="inlineStr"/>
    </row>
    <row r="195">
      <c r="A195" t="inlineStr">
        <is>
          <t>EDIT</t>
        </is>
      </c>
      <c r="B195" t="inlineStr">
        <is>
          <t>EDITAS MEDICINE</t>
        </is>
      </c>
      <c r="C195" s="2" t="n">
        <v>4705174.35</v>
      </c>
      <c r="D195" s="2" t="n">
        <v>10228828.73</v>
      </c>
      <c r="E195" s="2">
        <f>N(D195)-N(C195)</f>
        <v/>
      </c>
      <c r="F195" s="3">
        <f>IF(N(C195)=0,"n/a",E195/C195)</f>
        <v/>
      </c>
      <c r="G195" t="inlineStr"/>
    </row>
    <row r="196">
      <c r="A196" t="inlineStr">
        <is>
          <t>PALI</t>
        </is>
      </c>
      <c r="B196" t="inlineStr">
        <is>
          <t>PALISADE BIO INC</t>
        </is>
      </c>
      <c r="C196" s="2" t="n"/>
      <c r="D196" s="2" t="n">
        <v>5437968.75</v>
      </c>
      <c r="E196" s="2">
        <f>N(D196)-N(C196)</f>
        <v/>
      </c>
      <c r="F196" s="3">
        <f>IF(N(C196)=0,"n/a",E196/C196)</f>
        <v/>
      </c>
      <c r="G196" t="inlineStr">
        <is>
          <t>신규(9/30에만 존재)</t>
        </is>
      </c>
    </row>
    <row r="197">
      <c r="A197" t="inlineStr">
        <is>
          <t>IPSC</t>
        </is>
      </c>
      <c r="B197" t="inlineStr">
        <is>
          <t>CENTURY THERAPEUTICS</t>
        </is>
      </c>
      <c r="C197" s="2" t="n"/>
      <c r="D197" s="2" t="n">
        <v>5192370.54</v>
      </c>
      <c r="E197" s="2">
        <f>N(D197)-N(C197)</f>
        <v/>
      </c>
      <c r="F197" s="3">
        <f>IF(N(C197)=0,"n/a",E197/C197)</f>
        <v/>
      </c>
      <c r="G197" t="inlineStr">
        <is>
          <t>신규(9/30에만 존재)</t>
        </is>
      </c>
    </row>
    <row r="198">
      <c r="A198" t="inlineStr">
        <is>
          <t>CNMD</t>
        </is>
      </c>
      <c r="B198" t="inlineStr">
        <is>
          <t>CONMED CORP</t>
        </is>
      </c>
      <c r="C198" s="2" t="n">
        <v>31791099.2</v>
      </c>
      <c r="D198" s="2" t="n">
        <v>36956308.23</v>
      </c>
      <c r="E198" s="2">
        <f>N(D198)-N(C198)</f>
        <v/>
      </c>
      <c r="F198" s="3">
        <f>IF(N(C198)=0,"n/a",E198/C198)</f>
        <v/>
      </c>
      <c r="G198" t="inlineStr"/>
    </row>
    <row r="199">
      <c r="A199" t="inlineStr">
        <is>
          <t>RAPP</t>
        </is>
      </c>
      <c r="B199" t="inlineStr">
        <is>
          <t>RAPPORT THERAPEUTICS</t>
        </is>
      </c>
      <c r="C199" s="2" t="n">
        <v>21585180.62</v>
      </c>
      <c r="D199" s="2" t="n">
        <v>26672553.6</v>
      </c>
      <c r="E199" s="2">
        <f>N(D199)-N(C199)</f>
        <v/>
      </c>
      <c r="F199" s="3">
        <f>IF(N(C199)=0,"n/a",E199/C199)</f>
        <v/>
      </c>
      <c r="G199" t="inlineStr"/>
    </row>
    <row r="200">
      <c r="A200" t="inlineStr">
        <is>
          <t>PBYI</t>
        </is>
      </c>
      <c r="B200" t="inlineStr">
        <is>
          <t>PUMA BIOTECHNOLOGY INC</t>
        </is>
      </c>
      <c r="C200" s="2" t="n">
        <v>6661465.3</v>
      </c>
      <c r="D200" s="2" t="n">
        <v>11729067.75</v>
      </c>
      <c r="E200" s="2">
        <f>N(D200)-N(C200)</f>
        <v/>
      </c>
      <c r="F200" s="3">
        <f>IF(N(C200)=0,"n/a",E200/C200)</f>
        <v/>
      </c>
      <c r="G200" t="inlineStr"/>
    </row>
    <row r="201">
      <c r="A201" t="inlineStr">
        <is>
          <t>LMRI</t>
        </is>
      </c>
      <c r="B201" t="inlineStr">
        <is>
          <t>LUMEXA IMAGING HOLDINGS</t>
        </is>
      </c>
      <c r="C201" s="2" t="n"/>
      <c r="D201" s="2" t="n">
        <v>5024652.5</v>
      </c>
      <c r="E201" s="2">
        <f>N(D201)-N(C201)</f>
        <v/>
      </c>
      <c r="F201" s="3">
        <f>IF(N(C201)=0,"n/a",E201/C201)</f>
        <v/>
      </c>
      <c r="G201" t="inlineStr">
        <is>
          <t>신규(9/30에만 존재)</t>
        </is>
      </c>
    </row>
    <row r="202">
      <c r="A202" t="inlineStr">
        <is>
          <t>IVVD</t>
        </is>
      </c>
      <c r="B202" t="inlineStr">
        <is>
          <t>INVIVYD</t>
        </is>
      </c>
      <c r="C202" s="2" t="n"/>
      <c r="D202" s="2" t="n">
        <v>4976548.26</v>
      </c>
      <c r="E202" s="2">
        <f>N(D202)-N(C202)</f>
        <v/>
      </c>
      <c r="F202" s="3">
        <f>IF(N(C202)=0,"n/a",E202/C202)</f>
        <v/>
      </c>
      <c r="G202" t="inlineStr">
        <is>
          <t>신규(9/30에만 존재)</t>
        </is>
      </c>
    </row>
    <row r="203">
      <c r="A203" t="inlineStr">
        <is>
          <t>HSTM</t>
        </is>
      </c>
      <c r="B203" t="inlineStr">
        <is>
          <t>HEALTHSTREAM</t>
        </is>
      </c>
      <c r="C203" s="2" t="n">
        <v>13692644.82</v>
      </c>
      <c r="D203" s="2" t="n">
        <v>18389509.57</v>
      </c>
      <c r="E203" s="2">
        <f>N(D203)-N(C203)</f>
        <v/>
      </c>
      <c r="F203" s="3">
        <f>IF(N(C203)=0,"n/a",E203/C203)</f>
        <v/>
      </c>
      <c r="G203" t="inlineStr"/>
    </row>
    <row r="204">
      <c r="A204" t="inlineStr">
        <is>
          <t>SCTX</t>
        </is>
      </c>
      <c r="B204" t="inlineStr">
        <is>
          <t>SCRIBE THERAPEUTICS INC</t>
        </is>
      </c>
      <c r="C204" s="2" t="n"/>
      <c r="D204" s="2" t="n">
        <v>4658581.58</v>
      </c>
      <c r="E204" s="2">
        <f>N(D204)-N(C204)</f>
        <v/>
      </c>
      <c r="F204" s="3">
        <f>IF(N(C204)=0,"n/a",E204/C204)</f>
        <v/>
      </c>
      <c r="G204" t="inlineStr">
        <is>
          <t>신규(9/30에만 존재)</t>
        </is>
      </c>
    </row>
    <row r="205">
      <c r="A205" t="inlineStr">
        <is>
          <t>GALT</t>
        </is>
      </c>
      <c r="B205" t="inlineStr">
        <is>
          <t>GALECTIN THERAPEUTICS INC</t>
        </is>
      </c>
      <c r="C205" s="2" t="n"/>
      <c r="D205" s="2" t="n">
        <v>4609560.28</v>
      </c>
      <c r="E205" s="2">
        <f>N(D205)-N(C205)</f>
        <v/>
      </c>
      <c r="F205" s="3">
        <f>IF(N(C205)=0,"n/a",E205/C205)</f>
        <v/>
      </c>
      <c r="G205" t="inlineStr">
        <is>
          <t>신규(9/30에만 존재)</t>
        </is>
      </c>
    </row>
    <row r="206">
      <c r="A206" t="inlineStr">
        <is>
          <t>ANNX</t>
        </is>
      </c>
      <c r="B206" t="inlineStr">
        <is>
          <t>ANNEXON</t>
        </is>
      </c>
      <c r="C206" s="2" t="n">
        <v>12723375.74</v>
      </c>
      <c r="D206" s="2" t="n">
        <v>17270024.04</v>
      </c>
      <c r="E206" s="2">
        <f>N(D206)-N(C206)</f>
        <v/>
      </c>
      <c r="F206" s="3">
        <f>IF(N(C206)=0,"n/a",E206/C206)</f>
        <v/>
      </c>
      <c r="G206" t="inlineStr"/>
    </row>
    <row r="207">
      <c r="A207" t="inlineStr">
        <is>
          <t>HRMY</t>
        </is>
      </c>
      <c r="B207" t="inlineStr">
        <is>
          <t>HARMONY BIOSCIENCES HLDG</t>
        </is>
      </c>
      <c r="C207" s="2" t="n">
        <v>41403022.22</v>
      </c>
      <c r="D207" s="2" t="n">
        <v>45885870.94</v>
      </c>
      <c r="E207" s="2">
        <f>N(D207)-N(C207)</f>
        <v/>
      </c>
      <c r="F207" s="3">
        <f>IF(N(C207)=0,"n/a",E207/C207)</f>
        <v/>
      </c>
      <c r="G207" t="inlineStr"/>
    </row>
    <row r="208">
      <c r="A208" t="inlineStr">
        <is>
          <t>RDNT</t>
        </is>
      </c>
      <c r="B208" t="inlineStr">
        <is>
          <t>RADNET</t>
        </is>
      </c>
      <c r="C208" s="2" t="n">
        <v>123125983.7</v>
      </c>
      <c r="D208" s="2" t="n">
        <v>127590429.24</v>
      </c>
      <c r="E208" s="2">
        <f>N(D208)-N(C208)</f>
        <v/>
      </c>
      <c r="F208" s="3">
        <f>IF(N(C208)=0,"n/a",E208/C208)</f>
        <v/>
      </c>
      <c r="G208" t="inlineStr"/>
    </row>
    <row r="209">
      <c r="A209" t="inlineStr">
        <is>
          <t>CV</t>
        </is>
      </c>
      <c r="B209" t="inlineStr">
        <is>
          <t>CAPSOVISION INC</t>
        </is>
      </c>
      <c r="C209" s="2" t="n">
        <v>1034620.96</v>
      </c>
      <c r="D209" s="2" t="n">
        <v>5484481.86</v>
      </c>
      <c r="E209" s="2">
        <f>N(D209)-N(C209)</f>
        <v/>
      </c>
      <c r="F209" s="3">
        <f>IF(N(C209)=0,"n/a",E209/C209)</f>
        <v/>
      </c>
      <c r="G209" t="inlineStr"/>
    </row>
    <row r="210">
      <c r="A210" t="inlineStr">
        <is>
          <t>PROK</t>
        </is>
      </c>
      <c r="B210" t="inlineStr">
        <is>
          <t>PROKIDNEY CORP CLASS A</t>
        </is>
      </c>
      <c r="C210" s="2" t="n"/>
      <c r="D210" s="2" t="n">
        <v>4428518.12</v>
      </c>
      <c r="E210" s="2">
        <f>N(D210)-N(C210)</f>
        <v/>
      </c>
      <c r="F210" s="3">
        <f>IF(N(C210)=0,"n/a",E210/C210)</f>
        <v/>
      </c>
      <c r="G210" t="inlineStr">
        <is>
          <t>신규(9/30에만 존재)</t>
        </is>
      </c>
    </row>
    <row r="211">
      <c r="A211" t="inlineStr">
        <is>
          <t>DSGN</t>
        </is>
      </c>
      <c r="B211" t="inlineStr">
        <is>
          <t>DESIGN THERAPEUTICS</t>
        </is>
      </c>
      <c r="C211" s="2" t="n">
        <v>5900882.96</v>
      </c>
      <c r="D211" s="2" t="n">
        <v>10314024.39</v>
      </c>
      <c r="E211" s="2">
        <f>N(D211)-N(C211)</f>
        <v/>
      </c>
      <c r="F211" s="3">
        <f>IF(N(C211)=0,"n/a",E211/C211)</f>
        <v/>
      </c>
      <c r="G211" t="inlineStr"/>
    </row>
    <row r="212">
      <c r="A212" t="inlineStr">
        <is>
          <t>IKT</t>
        </is>
      </c>
      <c r="B212" t="inlineStr">
        <is>
          <t>INHIBIKASE THERAPEUTICS</t>
        </is>
      </c>
      <c r="C212" s="2" t="n">
        <v>2740050.5</v>
      </c>
      <c r="D212" s="2" t="n">
        <v>7141067.46</v>
      </c>
      <c r="E212" s="2">
        <f>N(D212)-N(C212)</f>
        <v/>
      </c>
      <c r="F212" s="3">
        <f>IF(N(C212)=0,"n/a",E212/C212)</f>
        <v/>
      </c>
      <c r="G212" t="inlineStr"/>
    </row>
    <row r="213">
      <c r="A213" t="inlineStr">
        <is>
          <t>PACB</t>
        </is>
      </c>
      <c r="B213" t="inlineStr">
        <is>
          <t>PACIFIC BIOSCIENCES OF CALIFORNIA</t>
        </is>
      </c>
      <c r="C213" s="2" t="n">
        <v>13142210.4</v>
      </c>
      <c r="D213" s="2" t="n">
        <v>17511811.5</v>
      </c>
      <c r="E213" s="2">
        <f>N(D213)-N(C213)</f>
        <v/>
      </c>
      <c r="F213" s="3">
        <f>IF(N(C213)=0,"n/a",E213/C213)</f>
        <v/>
      </c>
      <c r="G213" t="inlineStr"/>
    </row>
    <row r="214">
      <c r="A214" t="inlineStr">
        <is>
          <t>LCTX</t>
        </is>
      </c>
      <c r="B214" t="inlineStr">
        <is>
          <t>LINEAGE CELL THERAPEUTICS INC</t>
        </is>
      </c>
      <c r="C214" s="2" t="n"/>
      <c r="D214" s="2" t="n">
        <v>4309526.54</v>
      </c>
      <c r="E214" s="2">
        <f>N(D214)-N(C214)</f>
        <v/>
      </c>
      <c r="F214" s="3">
        <f>IF(N(C214)=0,"n/a",E214/C214)</f>
        <v/>
      </c>
      <c r="G214" t="inlineStr">
        <is>
          <t>신규(9/30에만 존재)</t>
        </is>
      </c>
    </row>
    <row r="215">
      <c r="A215" t="inlineStr">
        <is>
          <t>LMAT</t>
        </is>
      </c>
      <c r="B215" t="inlineStr">
        <is>
          <t>LEMAITRE VASCULAR</t>
        </is>
      </c>
      <c r="C215" s="2" t="n">
        <v>42198681.9</v>
      </c>
      <c r="D215" s="2" t="n">
        <v>46503290.58</v>
      </c>
      <c r="E215" s="2">
        <f>N(D215)-N(C215)</f>
        <v/>
      </c>
      <c r="F215" s="3">
        <f>IF(N(C215)=0,"n/a",E215/C215)</f>
        <v/>
      </c>
      <c r="G215" t="inlineStr"/>
    </row>
    <row r="216">
      <c r="A216" t="inlineStr">
        <is>
          <t>DCTH</t>
        </is>
      </c>
      <c r="B216" t="inlineStr">
        <is>
          <t>DELCATH SYS INC</t>
        </is>
      </c>
      <c r="C216" s="2" t="n">
        <v>7631166.1</v>
      </c>
      <c r="D216" s="2" t="n">
        <v>11892683.33</v>
      </c>
      <c r="E216" s="2">
        <f>N(D216)-N(C216)</f>
        <v/>
      </c>
      <c r="F216" s="3">
        <f>IF(N(C216)=0,"n/a",E216/C216)</f>
        <v/>
      </c>
      <c r="G216" t="inlineStr"/>
    </row>
    <row r="217">
      <c r="A217" t="inlineStr">
        <is>
          <t>TARS</t>
        </is>
      </c>
      <c r="B217" t="inlineStr">
        <is>
          <t>TARSUS PHARMACEUTICALS</t>
        </is>
      </c>
      <c r="C217" s="2" t="n">
        <v>80995859.76000001</v>
      </c>
      <c r="D217" s="2" t="n">
        <v>85222987.64</v>
      </c>
      <c r="E217" s="2">
        <f>N(D217)-N(C217)</f>
        <v/>
      </c>
      <c r="F217" s="3">
        <f>IF(N(C217)=0,"n/a",E217/C217)</f>
        <v/>
      </c>
      <c r="G217" t="inlineStr"/>
    </row>
    <row r="218">
      <c r="A218" t="inlineStr">
        <is>
          <t>ZVRA</t>
        </is>
      </c>
      <c r="B218" t="inlineStr">
        <is>
          <t>ZEVRA THERAPEUTICS INC</t>
        </is>
      </c>
      <c r="C218" s="2" t="n">
        <v>12476190.72</v>
      </c>
      <c r="D218" s="2" t="n">
        <v>16694080.18</v>
      </c>
      <c r="E218" s="2">
        <f>N(D218)-N(C218)</f>
        <v/>
      </c>
      <c r="F218" s="3">
        <f>IF(N(C218)=0,"n/a",E218/C218)</f>
        <v/>
      </c>
      <c r="G218" t="inlineStr"/>
    </row>
    <row r="219">
      <c r="A219" t="inlineStr">
        <is>
          <t>GLUE</t>
        </is>
      </c>
      <c r="B219" t="inlineStr">
        <is>
          <t>MONTE ROSA THERAPEUTICS</t>
        </is>
      </c>
      <c r="C219" s="2" t="n">
        <v>18683848.96</v>
      </c>
      <c r="D219" s="2" t="n">
        <v>22878757.5</v>
      </c>
      <c r="E219" s="2">
        <f>N(D219)-N(C219)</f>
        <v/>
      </c>
      <c r="F219" s="3">
        <f>IF(N(C219)=0,"n/a",E219/C219)</f>
        <v/>
      </c>
      <c r="G219" t="inlineStr"/>
    </row>
    <row r="220">
      <c r="A220" t="inlineStr">
        <is>
          <t>ADUS</t>
        </is>
      </c>
      <c r="B220" t="inlineStr">
        <is>
          <t>ADDUS HOMECARE CORP</t>
        </is>
      </c>
      <c r="C220" s="2" t="n">
        <v>48826581.74</v>
      </c>
      <c r="D220" s="2" t="n">
        <v>53016531.56</v>
      </c>
      <c r="E220" s="2">
        <f>N(D220)-N(C220)</f>
        <v/>
      </c>
      <c r="F220" s="3">
        <f>IF(N(C220)=0,"n/a",E220/C220)</f>
        <v/>
      </c>
      <c r="G220" t="inlineStr"/>
    </row>
    <row r="221">
      <c r="A221" t="inlineStr">
        <is>
          <t>SABS</t>
        </is>
      </c>
      <c r="B221" t="inlineStr">
        <is>
          <t>SAB BIOTHERAPEUTICS</t>
        </is>
      </c>
      <c r="C221" s="2" t="n"/>
      <c r="D221" s="2" t="n">
        <v>4167240.79</v>
      </c>
      <c r="E221" s="2">
        <f>N(D221)-N(C221)</f>
        <v/>
      </c>
      <c r="F221" s="3">
        <f>IF(N(C221)=0,"n/a",E221/C221)</f>
        <v/>
      </c>
      <c r="G221" t="inlineStr">
        <is>
          <t>신규(9/30에만 존재)</t>
        </is>
      </c>
    </row>
    <row r="222">
      <c r="A222" t="inlineStr">
        <is>
          <t>USPH</t>
        </is>
      </c>
      <c r="B222" t="inlineStr">
        <is>
          <t>US PHYSICAL THERAPY INC</t>
        </is>
      </c>
      <c r="C222" s="2" t="n">
        <v>29540275.65</v>
      </c>
      <c r="D222" s="2" t="n">
        <v>33536375.78</v>
      </c>
      <c r="E222" s="2">
        <f>N(D222)-N(C222)</f>
        <v/>
      </c>
      <c r="F222" s="3">
        <f>IF(N(C222)=0,"n/a",E222/C222)</f>
        <v/>
      </c>
      <c r="G222" t="inlineStr"/>
    </row>
    <row r="223">
      <c r="A223" t="inlineStr">
        <is>
          <t>WHWK</t>
        </is>
      </c>
      <c r="B223" t="inlineStr">
        <is>
          <t>WHITEHAWK THERAPEUTICS</t>
        </is>
      </c>
      <c r="C223" s="2" t="n"/>
      <c r="D223" s="2" t="n">
        <v>3961851.84</v>
      </c>
      <c r="E223" s="2">
        <f>N(D223)-N(C223)</f>
        <v/>
      </c>
      <c r="F223" s="3">
        <f>IF(N(C223)=0,"n/a",E223/C223)</f>
        <v/>
      </c>
      <c r="G223" t="inlineStr">
        <is>
          <t>신규(9/30에만 존재)</t>
        </is>
      </c>
    </row>
    <row r="224">
      <c r="A224" t="inlineStr">
        <is>
          <t>ORMP</t>
        </is>
      </c>
      <c r="B224" t="inlineStr">
        <is>
          <t>ORAMED PHARMACEUTICALS INC</t>
        </is>
      </c>
      <c r="C224" s="2" t="n"/>
      <c r="D224" s="2" t="n">
        <v>3944352.05</v>
      </c>
      <c r="E224" s="2">
        <f>N(D224)-N(C224)</f>
        <v/>
      </c>
      <c r="F224" s="3">
        <f>IF(N(C224)=0,"n/a",E224/C224)</f>
        <v/>
      </c>
      <c r="G224" t="inlineStr">
        <is>
          <t>신규(9/30에만 존재)</t>
        </is>
      </c>
    </row>
    <row r="225">
      <c r="A225" t="inlineStr">
        <is>
          <t>SI</t>
        </is>
      </c>
      <c r="B225" t="inlineStr">
        <is>
          <t>SHOULDER INNOVATIONS</t>
        </is>
      </c>
      <c r="C225" s="2" t="n">
        <v>1536377.7</v>
      </c>
      <c r="D225" s="2" t="n">
        <v>5478127.2</v>
      </c>
      <c r="E225" s="2">
        <f>N(D225)-N(C225)</f>
        <v/>
      </c>
      <c r="F225" s="3">
        <f>IF(N(C225)=0,"n/a",E225/C225)</f>
        <v/>
      </c>
      <c r="G225" t="inlineStr"/>
    </row>
    <row r="226">
      <c r="A226" t="inlineStr">
        <is>
          <t>RIGL</t>
        </is>
      </c>
      <c r="B226" t="inlineStr">
        <is>
          <t>RIGEL PHARMACEUTICALS</t>
        </is>
      </c>
      <c r="C226" s="2" t="n">
        <v>19080722.17</v>
      </c>
      <c r="D226" s="2" t="n">
        <v>22993599.15</v>
      </c>
      <c r="E226" s="2">
        <f>N(D226)-N(C226)</f>
        <v/>
      </c>
      <c r="F226" s="3">
        <f>IF(N(C226)=0,"n/a",E226/C226)</f>
        <v/>
      </c>
      <c r="G226" t="inlineStr"/>
    </row>
    <row r="227">
      <c r="A227" t="inlineStr">
        <is>
          <t>RZLT</t>
        </is>
      </c>
      <c r="B227" t="inlineStr">
        <is>
          <t>REZOLUTE</t>
        </is>
      </c>
      <c r="C227" s="2" t="n">
        <v>4740989.84</v>
      </c>
      <c r="D227" s="2" t="n">
        <v>8595488.699999999</v>
      </c>
      <c r="E227" s="2">
        <f>N(D227)-N(C227)</f>
        <v/>
      </c>
      <c r="F227" s="3">
        <f>IF(N(C227)=0,"n/a",E227/C227)</f>
        <v/>
      </c>
      <c r="G227" t="inlineStr"/>
    </row>
    <row r="228">
      <c r="A228" t="inlineStr">
        <is>
          <t>CTKB</t>
        </is>
      </c>
      <c r="B228" t="inlineStr">
        <is>
          <t>CYTEK BIOSCIENCES</t>
        </is>
      </c>
      <c r="C228" s="2" t="n">
        <v>15141783.65</v>
      </c>
      <c r="D228" s="2" t="n">
        <v>18957132.92</v>
      </c>
      <c r="E228" s="2">
        <f>N(D228)-N(C228)</f>
        <v/>
      </c>
      <c r="F228" s="3">
        <f>IF(N(C228)=0,"n/a",E228/C228)</f>
        <v/>
      </c>
      <c r="G228" t="inlineStr"/>
    </row>
    <row r="229">
      <c r="A229" t="inlineStr">
        <is>
          <t>BKD</t>
        </is>
      </c>
      <c r="B229" t="inlineStr">
        <is>
          <t>BROOKDALE SENIOR LIVING INC</t>
        </is>
      </c>
      <c r="C229" s="2" t="n">
        <v>63300916.12</v>
      </c>
      <c r="D229" s="2" t="n">
        <v>67103275.65</v>
      </c>
      <c r="E229" s="2">
        <f>N(D229)-N(C229)</f>
        <v/>
      </c>
      <c r="F229" s="3">
        <f>IF(N(C229)=0,"n/a",E229/C229)</f>
        <v/>
      </c>
      <c r="G229" t="inlineStr"/>
    </row>
    <row r="230">
      <c r="A230" t="inlineStr">
        <is>
          <t>DTIL</t>
        </is>
      </c>
      <c r="B230" t="inlineStr">
        <is>
          <t>PRECISION BIOSCIENCES INC</t>
        </is>
      </c>
      <c r="C230" s="2" t="n"/>
      <c r="D230" s="2" t="n">
        <v>3779074.36</v>
      </c>
      <c r="E230" s="2">
        <f>N(D230)-N(C230)</f>
        <v/>
      </c>
      <c r="F230" s="3">
        <f>IF(N(C230)=0,"n/a",E230/C230)</f>
        <v/>
      </c>
      <c r="G230" t="inlineStr">
        <is>
          <t>신규(9/30에만 존재)</t>
        </is>
      </c>
    </row>
    <row r="231">
      <c r="A231" t="inlineStr">
        <is>
          <t>TYRA</t>
        </is>
      </c>
      <c r="B231" t="inlineStr">
        <is>
          <t>TYRA BIOSCIENCES</t>
        </is>
      </c>
      <c r="C231" s="2" t="n">
        <v>17228415.38</v>
      </c>
      <c r="D231" s="2" t="n">
        <v>20924625.51</v>
      </c>
      <c r="E231" s="2">
        <f>N(D231)-N(C231)</f>
        <v/>
      </c>
      <c r="F231" s="3">
        <f>IF(N(C231)=0,"n/a",E231/C231)</f>
        <v/>
      </c>
      <c r="G231" t="inlineStr"/>
    </row>
    <row r="232">
      <c r="A232" t="inlineStr">
        <is>
          <t>FENC</t>
        </is>
      </c>
      <c r="B232" t="inlineStr">
        <is>
          <t>FENNEC PHARMACEUTICALS</t>
        </is>
      </c>
      <c r="C232" s="2" t="n">
        <v>4400473</v>
      </c>
      <c r="D232" s="2" t="n">
        <v>8065138.5</v>
      </c>
      <c r="E232" s="2">
        <f>N(D232)-N(C232)</f>
        <v/>
      </c>
      <c r="F232" s="3">
        <f>IF(N(C232)=0,"n/a",E232/C232)</f>
        <v/>
      </c>
      <c r="G232" t="inlineStr"/>
    </row>
    <row r="233">
      <c r="A233" t="inlineStr">
        <is>
          <t>EOLS</t>
        </is>
      </c>
      <c r="B233" t="inlineStr">
        <is>
          <t>EVOLUS INC</t>
        </is>
      </c>
      <c r="C233" s="2" t="n">
        <v>8704038.699999999</v>
      </c>
      <c r="D233" s="2" t="n">
        <v>12367832</v>
      </c>
      <c r="E233" s="2">
        <f>N(D233)-N(C233)</f>
        <v/>
      </c>
      <c r="F233" s="3">
        <f>IF(N(C233)=0,"n/a",E233/C233)</f>
        <v/>
      </c>
      <c r="G233" t="inlineStr"/>
    </row>
    <row r="234">
      <c r="A234" t="inlineStr">
        <is>
          <t>ZNTL</t>
        </is>
      </c>
      <c r="B234" t="inlineStr">
        <is>
          <t>ZENTALIS PHARMACEUTICALS</t>
        </is>
      </c>
      <c r="C234" s="2" t="n"/>
      <c r="D234" s="2" t="n">
        <v>3637015.54</v>
      </c>
      <c r="E234" s="2">
        <f>N(D234)-N(C234)</f>
        <v/>
      </c>
      <c r="F234" s="3">
        <f>IF(N(C234)=0,"n/a",E234/C234)</f>
        <v/>
      </c>
      <c r="G234" t="inlineStr">
        <is>
          <t>신규(9/30에만 존재)</t>
        </is>
      </c>
    </row>
    <row r="235">
      <c r="A235" t="inlineStr">
        <is>
          <t>ALXO</t>
        </is>
      </c>
      <c r="B235" t="inlineStr">
        <is>
          <t>ALX ONCOLOGY HOLDINGS INC</t>
        </is>
      </c>
      <c r="C235" s="2" t="n"/>
      <c r="D235" s="2" t="n">
        <v>3630552.12</v>
      </c>
      <c r="E235" s="2">
        <f>N(D235)-N(C235)</f>
        <v/>
      </c>
      <c r="F235" s="3">
        <f>IF(N(C235)=0,"n/a",E235/C235)</f>
        <v/>
      </c>
      <c r="G235" t="inlineStr">
        <is>
          <t>신규(9/30에만 존재)</t>
        </is>
      </c>
    </row>
    <row r="236">
      <c r="A236" t="inlineStr">
        <is>
          <t>CNTN</t>
        </is>
      </c>
      <c r="B236" t="inlineStr">
        <is>
          <t>CANTON STRATEGIC HOLDINGS INC</t>
        </is>
      </c>
      <c r="C236" s="2" t="n"/>
      <c r="D236" s="2" t="n">
        <v>3579493.12</v>
      </c>
      <c r="E236" s="2">
        <f>N(D236)-N(C236)</f>
        <v/>
      </c>
      <c r="F236" s="3">
        <f>IF(N(C236)=0,"n/a",E236/C236)</f>
        <v/>
      </c>
      <c r="G236" t="inlineStr">
        <is>
          <t>신규(9/30에만 존재)</t>
        </is>
      </c>
    </row>
    <row r="237">
      <c r="A237" t="inlineStr">
        <is>
          <t>ANTX</t>
        </is>
      </c>
      <c r="B237" t="inlineStr">
        <is>
          <t>AN2 THERAPEUTICS INC</t>
        </is>
      </c>
      <c r="C237" s="2" t="n"/>
      <c r="D237" s="2" t="n">
        <v>3564857.52</v>
      </c>
      <c r="E237" s="2">
        <f>N(D237)-N(C237)</f>
        <v/>
      </c>
      <c r="F237" s="3">
        <f>IF(N(C237)=0,"n/a",E237/C237)</f>
        <v/>
      </c>
      <c r="G237" t="inlineStr">
        <is>
          <t>신규(9/30에만 존재)</t>
        </is>
      </c>
    </row>
    <row r="238">
      <c r="A238" t="inlineStr">
        <is>
          <t>AZTA</t>
        </is>
      </c>
      <c r="B238" t="inlineStr">
        <is>
          <t>AZENTA</t>
        </is>
      </c>
      <c r="C238" s="2" t="n">
        <v>34554179.86</v>
      </c>
      <c r="D238" s="2" t="n">
        <v>38080411.38</v>
      </c>
      <c r="E238" s="2">
        <f>N(D238)-N(C238)</f>
        <v/>
      </c>
      <c r="F238" s="3">
        <f>IF(N(C238)=0,"n/a",E238/C238)</f>
        <v/>
      </c>
      <c r="G238" t="inlineStr"/>
    </row>
    <row r="239">
      <c r="A239" t="inlineStr">
        <is>
          <t>ANAB</t>
        </is>
      </c>
      <c r="B239" t="inlineStr">
        <is>
          <t>ANAPTYSBIO</t>
        </is>
      </c>
      <c r="C239" s="2" t="n">
        <v>22734889.92</v>
      </c>
      <c r="D239" s="2" t="n">
        <v>26246224.34</v>
      </c>
      <c r="E239" s="2">
        <f>N(D239)-N(C239)</f>
        <v/>
      </c>
      <c r="F239" s="3">
        <f>IF(N(C239)=0,"n/a",E239/C239)</f>
        <v/>
      </c>
      <c r="G239" t="inlineStr"/>
    </row>
    <row r="240">
      <c r="A240" t="inlineStr">
        <is>
          <t>OPK</t>
        </is>
      </c>
      <c r="B240" t="inlineStr">
        <is>
          <t>OPKO HEALTH</t>
        </is>
      </c>
      <c r="C240" s="2" t="n">
        <v>13153586.04</v>
      </c>
      <c r="D240" s="2" t="n">
        <v>16613111.83</v>
      </c>
      <c r="E240" s="2">
        <f>N(D240)-N(C240)</f>
        <v/>
      </c>
      <c r="F240" s="3">
        <f>IF(N(C240)=0,"n/a",E240/C240)</f>
        <v/>
      </c>
      <c r="G240" t="inlineStr"/>
    </row>
    <row r="241">
      <c r="A241" t="inlineStr">
        <is>
          <t>ARTV</t>
        </is>
      </c>
      <c r="B241" t="inlineStr">
        <is>
          <t>ARTIVA BIOTHERAPEUTICS INC</t>
        </is>
      </c>
      <c r="C241" s="2" t="n"/>
      <c r="D241" s="2" t="n">
        <v>3427817.2</v>
      </c>
      <c r="E241" s="2">
        <f>N(D241)-N(C241)</f>
        <v/>
      </c>
      <c r="F241" s="3">
        <f>IF(N(C241)=0,"n/a",E241/C241)</f>
        <v/>
      </c>
      <c r="G241" t="inlineStr">
        <is>
          <t>신규(9/30에만 존재)</t>
        </is>
      </c>
    </row>
    <row r="242">
      <c r="A242" t="inlineStr">
        <is>
          <t>SPRB</t>
        </is>
      </c>
      <c r="B242" t="inlineStr">
        <is>
          <t>SPRUCE BIOSCIENCES</t>
        </is>
      </c>
      <c r="C242" s="2" t="n"/>
      <c r="D242" s="2" t="n">
        <v>3353040.18</v>
      </c>
      <c r="E242" s="2">
        <f>N(D242)-N(C242)</f>
        <v/>
      </c>
      <c r="F242" s="3">
        <f>IF(N(C242)=0,"n/a",E242/C242)</f>
        <v/>
      </c>
      <c r="G242" t="inlineStr">
        <is>
          <t>신규(9/30에만 존재)</t>
        </is>
      </c>
    </row>
    <row r="243">
      <c r="A243" t="inlineStr">
        <is>
          <t>EVMN</t>
        </is>
      </c>
      <c r="B243" t="inlineStr">
        <is>
          <t>EVOMMUNE</t>
        </is>
      </c>
      <c r="C243" s="2" t="n"/>
      <c r="D243" s="2" t="n">
        <v>3221581.72</v>
      </c>
      <c r="E243" s="2">
        <f>N(D243)-N(C243)</f>
        <v/>
      </c>
      <c r="F243" s="3">
        <f>IF(N(C243)=0,"n/a",E243/C243)</f>
        <v/>
      </c>
      <c r="G243" t="inlineStr">
        <is>
          <t>신규(9/30에만 존재)</t>
        </is>
      </c>
    </row>
    <row r="244">
      <c r="A244" t="inlineStr">
        <is>
          <t>AURA</t>
        </is>
      </c>
      <c r="B244" t="inlineStr">
        <is>
          <t>AURA BIOSCIENCES</t>
        </is>
      </c>
      <c r="C244" s="2" t="n">
        <v>5839130</v>
      </c>
      <c r="D244" s="2" t="n">
        <v>8984921.6</v>
      </c>
      <c r="E244" s="2">
        <f>N(D244)-N(C244)</f>
        <v/>
      </c>
      <c r="F244" s="3">
        <f>IF(N(C244)=0,"n/a",E244/C244)</f>
        <v/>
      </c>
      <c r="G244" t="inlineStr"/>
    </row>
    <row r="245">
      <c r="A245" t="inlineStr">
        <is>
          <t>IRWD</t>
        </is>
      </c>
      <c r="B245" t="inlineStr">
        <is>
          <t>IRONWOOD PHARMA CLASS A</t>
        </is>
      </c>
      <c r="C245" s="2" t="n">
        <v>13747278.07</v>
      </c>
      <c r="D245" s="2" t="n">
        <v>16884290.9</v>
      </c>
      <c r="E245" s="2">
        <f>N(D245)-N(C245)</f>
        <v/>
      </c>
      <c r="F245" s="3">
        <f>IF(N(C245)=0,"n/a",E245/C245)</f>
        <v/>
      </c>
      <c r="G245" t="inlineStr"/>
    </row>
    <row r="246">
      <c r="A246" t="inlineStr">
        <is>
          <t>DYN</t>
        </is>
      </c>
      <c r="B246" t="inlineStr">
        <is>
          <t>DYNE THERAPEUTICS</t>
        </is>
      </c>
      <c r="C246" s="2" t="n">
        <v>61105322.64</v>
      </c>
      <c r="D246" s="2" t="n">
        <v>64217810.88</v>
      </c>
      <c r="E246" s="2">
        <f>N(D246)-N(C246)</f>
        <v/>
      </c>
      <c r="F246" s="3">
        <f>IF(N(C246)=0,"n/a",E246/C246)</f>
        <v/>
      </c>
      <c r="G246" t="inlineStr"/>
    </row>
    <row r="247">
      <c r="A247" t="inlineStr">
        <is>
          <t>AVIR</t>
        </is>
      </c>
      <c r="B247" t="inlineStr">
        <is>
          <t>ATEA PHARMACEUTICALS</t>
        </is>
      </c>
      <c r="C247" s="2" t="n">
        <v>6501894.63</v>
      </c>
      <c r="D247" s="2" t="n">
        <v>9610871.369999999</v>
      </c>
      <c r="E247" s="2">
        <f>N(D247)-N(C247)</f>
        <v/>
      </c>
      <c r="F247" s="3">
        <f>IF(N(C247)=0,"n/a",E247/C247)</f>
        <v/>
      </c>
      <c r="G247" t="inlineStr"/>
    </row>
    <row r="248">
      <c r="A248" t="inlineStr">
        <is>
          <t>ANIK</t>
        </is>
      </c>
      <c r="B248" t="inlineStr">
        <is>
          <t>ANIKA THERAPEUTICS INC</t>
        </is>
      </c>
      <c r="C248" s="2" t="n">
        <v>2852747.72</v>
      </c>
      <c r="D248" s="2" t="n">
        <v>5910267.84</v>
      </c>
      <c r="E248" s="2">
        <f>N(D248)-N(C248)</f>
        <v/>
      </c>
      <c r="F248" s="3">
        <f>IF(N(C248)=0,"n/a",E248/C248)</f>
        <v/>
      </c>
      <c r="G248" t="inlineStr"/>
    </row>
    <row r="249">
      <c r="A249" t="inlineStr">
        <is>
          <t>CATX</t>
        </is>
      </c>
      <c r="B249" t="inlineStr">
        <is>
          <t>PERSPECTIVE THERAPEUTICS</t>
        </is>
      </c>
      <c r="C249" s="2" t="n">
        <v>4262087.5</v>
      </c>
      <c r="D249" s="2" t="n">
        <v>7317054.25</v>
      </c>
      <c r="E249" s="2">
        <f>N(D249)-N(C249)</f>
        <v/>
      </c>
      <c r="F249" s="3">
        <f>IF(N(C249)=0,"n/a",E249/C249)</f>
        <v/>
      </c>
      <c r="G249" t="inlineStr"/>
    </row>
    <row r="250">
      <c r="A250" t="inlineStr">
        <is>
          <t>MMSI</t>
        </is>
      </c>
      <c r="B250" t="inlineStr">
        <is>
          <t>MERIT MEDICAL SYSTEMS INC</t>
        </is>
      </c>
      <c r="C250" s="2" t="n">
        <v>129967630.26</v>
      </c>
      <c r="D250" s="2" t="n">
        <v>133022537.04</v>
      </c>
      <c r="E250" s="2">
        <f>N(D250)-N(C250)</f>
        <v/>
      </c>
      <c r="F250" s="3">
        <f>IF(N(C250)=0,"n/a",E250/C250)</f>
        <v/>
      </c>
      <c r="G250" t="inlineStr"/>
    </row>
    <row r="251">
      <c r="A251" t="inlineStr">
        <is>
          <t>ELDN</t>
        </is>
      </c>
      <c r="B251" t="inlineStr">
        <is>
          <t>ELEDON PHARMACEUTICALS INC</t>
        </is>
      </c>
      <c r="C251" s="2" t="n">
        <v>2211316.48</v>
      </c>
      <c r="D251" s="2" t="n">
        <v>5182684.76</v>
      </c>
      <c r="E251" s="2">
        <f>N(D251)-N(C251)</f>
        <v/>
      </c>
      <c r="F251" s="3">
        <f>IF(N(C251)=0,"n/a",E251/C251)</f>
        <v/>
      </c>
      <c r="G251" t="inlineStr"/>
    </row>
    <row r="252">
      <c r="A252" t="inlineStr">
        <is>
          <t>CRBP</t>
        </is>
      </c>
      <c r="B252" t="inlineStr">
        <is>
          <t>CORBUS PHARMACEUTICALS HOLDINGS</t>
        </is>
      </c>
      <c r="C252" s="2" t="n"/>
      <c r="D252" s="2" t="n">
        <v>2942079.8</v>
      </c>
      <c r="E252" s="2">
        <f>N(D252)-N(C252)</f>
        <v/>
      </c>
      <c r="F252" s="3">
        <f>IF(N(C252)=0,"n/a",E252/C252)</f>
        <v/>
      </c>
      <c r="G252" t="inlineStr">
        <is>
          <t>신규(9/30에만 존재)</t>
        </is>
      </c>
    </row>
    <row r="253">
      <c r="A253" t="inlineStr">
        <is>
          <t>CRBU</t>
        </is>
      </c>
      <c r="B253" t="inlineStr">
        <is>
          <t>CARIBOU BIOSCIENCES</t>
        </is>
      </c>
      <c r="C253" s="2" t="n"/>
      <c r="D253" s="2" t="n">
        <v>2926311.14</v>
      </c>
      <c r="E253" s="2">
        <f>N(D253)-N(C253)</f>
        <v/>
      </c>
      <c r="F253" s="3">
        <f>IF(N(C253)=0,"n/a",E253/C253)</f>
        <v/>
      </c>
      <c r="G253" t="inlineStr">
        <is>
          <t>신규(9/30에만 존재)</t>
        </is>
      </c>
    </row>
    <row r="254">
      <c r="A254" t="inlineStr">
        <is>
          <t>UNCY</t>
        </is>
      </c>
      <c r="B254" t="inlineStr">
        <is>
          <t>UNICYCIVE THERAPEUTICS INC</t>
        </is>
      </c>
      <c r="C254" s="2" t="n"/>
      <c r="D254" s="2" t="n">
        <v>2907857.64</v>
      </c>
      <c r="E254" s="2">
        <f>N(D254)-N(C254)</f>
        <v/>
      </c>
      <c r="F254" s="3">
        <f>IF(N(C254)=0,"n/a",E254/C254)</f>
        <v/>
      </c>
      <c r="G254" t="inlineStr">
        <is>
          <t>신규(9/30에만 존재)</t>
        </is>
      </c>
    </row>
    <row r="255">
      <c r="A255" t="inlineStr">
        <is>
          <t>CAMP</t>
        </is>
      </c>
      <c r="B255" t="inlineStr">
        <is>
          <t>CAMP4 THERAPEUTICS CORP</t>
        </is>
      </c>
      <c r="C255" s="2" t="n"/>
      <c r="D255" s="2" t="n">
        <v>2900627.08</v>
      </c>
      <c r="E255" s="2">
        <f>N(D255)-N(C255)</f>
        <v/>
      </c>
      <c r="F255" s="3">
        <f>IF(N(C255)=0,"n/a",E255/C255)</f>
        <v/>
      </c>
      <c r="G255" t="inlineStr">
        <is>
          <t>신규(9/30에만 존재)</t>
        </is>
      </c>
    </row>
    <row r="256">
      <c r="A256" t="inlineStr">
        <is>
          <t>TSHA</t>
        </is>
      </c>
      <c r="B256" t="inlineStr">
        <is>
          <t>TAYSHA GENE THERAPIES</t>
        </is>
      </c>
      <c r="C256" s="2" t="n">
        <v>30709772.5</v>
      </c>
      <c r="D256" s="2" t="n">
        <v>33580232.75</v>
      </c>
      <c r="E256" s="2">
        <f>N(D256)-N(C256)</f>
        <v/>
      </c>
      <c r="F256" s="3">
        <f>IF(N(C256)=0,"n/a",E256/C256)</f>
        <v/>
      </c>
      <c r="G256" t="inlineStr"/>
    </row>
    <row r="257">
      <c r="A257" t="inlineStr">
        <is>
          <t>NERV</t>
        </is>
      </c>
      <c r="B257" t="inlineStr">
        <is>
          <t>MINERVA NEUROSCIENCES INC</t>
        </is>
      </c>
      <c r="C257" s="2" t="n"/>
      <c r="D257" s="2" t="n">
        <v>2783022.55</v>
      </c>
      <c r="E257" s="2">
        <f>N(D257)-N(C257)</f>
        <v/>
      </c>
      <c r="F257" s="3">
        <f>IF(N(C257)=0,"n/a",E257/C257)</f>
        <v/>
      </c>
      <c r="G257" t="inlineStr">
        <is>
          <t>신규(9/30에만 존재)</t>
        </is>
      </c>
    </row>
    <row r="258">
      <c r="A258" t="inlineStr">
        <is>
          <t>PRLD</t>
        </is>
      </c>
      <c r="B258" t="inlineStr">
        <is>
          <t>PRELUDE THERAPEUTICS</t>
        </is>
      </c>
      <c r="C258" s="2" t="n"/>
      <c r="D258" s="2" t="n">
        <v>2780678.61</v>
      </c>
      <c r="E258" s="2">
        <f>N(D258)-N(C258)</f>
        <v/>
      </c>
      <c r="F258" s="3">
        <f>IF(N(C258)=0,"n/a",E258/C258)</f>
        <v/>
      </c>
      <c r="G258" t="inlineStr">
        <is>
          <t>신규(9/30에만 존재)</t>
        </is>
      </c>
    </row>
    <row r="259">
      <c r="A259" t="inlineStr">
        <is>
          <t>CBLL</t>
        </is>
      </c>
      <c r="B259" t="inlineStr">
        <is>
          <t>CERIBELL</t>
        </is>
      </c>
      <c r="C259" s="2" t="n">
        <v>14743034.61</v>
      </c>
      <c r="D259" s="2" t="n">
        <v>17518702.86</v>
      </c>
      <c r="E259" s="2">
        <f>N(D259)-N(C259)</f>
        <v/>
      </c>
      <c r="F259" s="3">
        <f>IF(N(C259)=0,"n/a",E259/C259)</f>
        <v/>
      </c>
      <c r="G259" t="inlineStr"/>
    </row>
    <row r="260">
      <c r="A260" t="inlineStr">
        <is>
          <t>CERS</t>
        </is>
      </c>
      <c r="B260" t="inlineStr">
        <is>
          <t>CERUS CORP</t>
        </is>
      </c>
      <c r="C260" s="2" t="n">
        <v>9626019.5</v>
      </c>
      <c r="D260" s="2" t="n">
        <v>12398919.4</v>
      </c>
      <c r="E260" s="2">
        <f>N(D260)-N(C260)</f>
        <v/>
      </c>
      <c r="F260" s="3">
        <f>IF(N(C260)=0,"n/a",E260/C260)</f>
        <v/>
      </c>
      <c r="G260" t="inlineStr"/>
    </row>
    <row r="261">
      <c r="A261" t="inlineStr">
        <is>
          <t>KIDS</t>
        </is>
      </c>
      <c r="B261" t="inlineStr">
        <is>
          <t>ORTHOPEDIATRICS CORP</t>
        </is>
      </c>
      <c r="C261" s="2" t="n">
        <v>7565706.72</v>
      </c>
      <c r="D261" s="2" t="n">
        <v>10196230.42</v>
      </c>
      <c r="E261" s="2">
        <f>N(D261)-N(C261)</f>
        <v/>
      </c>
      <c r="F261" s="3">
        <f>IF(N(C261)=0,"n/a",E261/C261)</f>
        <v/>
      </c>
      <c r="G261" t="inlineStr"/>
    </row>
    <row r="262">
      <c r="A262" t="inlineStr">
        <is>
          <t>INNV</t>
        </is>
      </c>
      <c r="B262" t="inlineStr">
        <is>
          <t>INNOVAGE HOLDING CORP</t>
        </is>
      </c>
      <c r="C262" s="2" t="n">
        <v>2547340.23</v>
      </c>
      <c r="D262" s="2" t="n">
        <v>5156492</v>
      </c>
      <c r="E262" s="2">
        <f>N(D262)-N(C262)</f>
        <v/>
      </c>
      <c r="F262" s="3">
        <f>IF(N(C262)=0,"n/a",E262/C262)</f>
        <v/>
      </c>
      <c r="G262" t="inlineStr"/>
    </row>
    <row r="263">
      <c r="A263" t="inlineStr">
        <is>
          <t>ABOS</t>
        </is>
      </c>
      <c r="B263" t="inlineStr">
        <is>
          <t>ACUMEN PHARMACEUTICALS INC</t>
        </is>
      </c>
      <c r="C263" s="2" t="n"/>
      <c r="D263" s="2" t="n">
        <v>2598900.72</v>
      </c>
      <c r="E263" s="2">
        <f>N(D263)-N(C263)</f>
        <v/>
      </c>
      <c r="F263" s="3">
        <f>IF(N(C263)=0,"n/a",E263/C263)</f>
        <v/>
      </c>
      <c r="G263" t="inlineStr">
        <is>
          <t>신규(9/30에만 존재)</t>
        </is>
      </c>
    </row>
    <row r="264">
      <c r="A264" t="inlineStr">
        <is>
          <t>MAZE</t>
        </is>
      </c>
      <c r="B264" t="inlineStr">
        <is>
          <t>MAZE THERAPEUTICS</t>
        </is>
      </c>
      <c r="C264" s="2" t="n">
        <v>22315730.91</v>
      </c>
      <c r="D264" s="2" t="n">
        <v>24837138.36</v>
      </c>
      <c r="E264" s="2">
        <f>N(D264)-N(C264)</f>
        <v/>
      </c>
      <c r="F264" s="3">
        <f>IF(N(C264)=0,"n/a",E264/C264)</f>
        <v/>
      </c>
      <c r="G264" t="inlineStr"/>
    </row>
    <row r="265">
      <c r="A265" t="inlineStr">
        <is>
          <t>KURA</t>
        </is>
      </c>
      <c r="B265" t="inlineStr">
        <is>
          <t>KURA ONCOLOGY</t>
        </is>
      </c>
      <c r="C265" s="2" t="n">
        <v>21058358.49</v>
      </c>
      <c r="D265" s="2" t="n">
        <v>23562192.78</v>
      </c>
      <c r="E265" s="2">
        <f>N(D265)-N(C265)</f>
        <v/>
      </c>
      <c r="F265" s="3">
        <f>IF(N(C265)=0,"n/a",E265/C265)</f>
        <v/>
      </c>
      <c r="G265" t="inlineStr"/>
    </row>
    <row r="266">
      <c r="A266" t="inlineStr">
        <is>
          <t>SMTI</t>
        </is>
      </c>
      <c r="B266" t="inlineStr">
        <is>
          <t>SANARA MEDTECH</t>
        </is>
      </c>
      <c r="C266" s="2" t="n">
        <v>1890953.05</v>
      </c>
      <c r="D266" s="2" t="n">
        <v>4313505.28</v>
      </c>
      <c r="E266" s="2">
        <f>N(D266)-N(C266)</f>
        <v/>
      </c>
      <c r="F266" s="3">
        <f>IF(N(C266)=0,"n/a",E266/C266)</f>
        <v/>
      </c>
      <c r="G266" t="inlineStr"/>
    </row>
    <row r="267">
      <c r="A267" t="inlineStr">
        <is>
          <t>ANIP</t>
        </is>
      </c>
      <c r="B267" t="inlineStr">
        <is>
          <t>ANI PHARMACEUTICALS</t>
        </is>
      </c>
      <c r="C267" s="2" t="n">
        <v>36115523.64</v>
      </c>
      <c r="D267" s="2" t="n">
        <v>38495564.05</v>
      </c>
      <c r="E267" s="2">
        <f>N(D267)-N(C267)</f>
        <v/>
      </c>
      <c r="F267" s="3">
        <f>IF(N(C267)=0,"n/a",E267/C267)</f>
        <v/>
      </c>
      <c r="G267" t="inlineStr"/>
    </row>
    <row r="268">
      <c r="A268" t="inlineStr">
        <is>
          <t>BDTX</t>
        </is>
      </c>
      <c r="B268" t="inlineStr">
        <is>
          <t>BLACK DIAMOND THERAPEUTICS INC</t>
        </is>
      </c>
      <c r="C268" s="2" t="n"/>
      <c r="D268" s="2" t="n">
        <v>2290866.89</v>
      </c>
      <c r="E268" s="2">
        <f>N(D268)-N(C268)</f>
        <v/>
      </c>
      <c r="F268" s="3">
        <f>IF(N(C268)=0,"n/a",E268/C268)</f>
        <v/>
      </c>
      <c r="G268" t="inlineStr">
        <is>
          <t>신규(9/30에만 존재)</t>
        </is>
      </c>
    </row>
    <row r="269">
      <c r="A269" t="inlineStr">
        <is>
          <t>PLX</t>
        </is>
      </c>
      <c r="B269" t="inlineStr">
        <is>
          <t>PROTALIX BIOTHERAPEUTICS</t>
        </is>
      </c>
      <c r="C269" s="2" t="n">
        <v>3117105</v>
      </c>
      <c r="D269" s="2" t="n">
        <v>5361556.68</v>
      </c>
      <c r="E269" s="2">
        <f>N(D269)-N(C269)</f>
        <v/>
      </c>
      <c r="F269" s="3">
        <f>IF(N(C269)=0,"n/a",E269/C269)</f>
        <v/>
      </c>
      <c r="G269" t="inlineStr"/>
    </row>
    <row r="270">
      <c r="A270" t="inlineStr">
        <is>
          <t>LYEL</t>
        </is>
      </c>
      <c r="B270" t="inlineStr">
        <is>
          <t>LYELL IMMUNOPHARMA</t>
        </is>
      </c>
      <c r="C270" s="2" t="n"/>
      <c r="D270" s="2" t="n">
        <v>2233216.48</v>
      </c>
      <c r="E270" s="2">
        <f>N(D270)-N(C270)</f>
        <v/>
      </c>
      <c r="F270" s="3">
        <f>IF(N(C270)=0,"n/a",E270/C270)</f>
        <v/>
      </c>
      <c r="G270" t="inlineStr">
        <is>
          <t>신규(9/30에만 존재)</t>
        </is>
      </c>
    </row>
    <row r="271">
      <c r="A271" t="inlineStr">
        <is>
          <t>ACU</t>
        </is>
      </c>
      <c r="B271" t="inlineStr">
        <is>
          <t>ACME UNITED CORP</t>
        </is>
      </c>
      <c r="C271" s="2" t="n">
        <v>2893330.87</v>
      </c>
      <c r="D271" s="2" t="n">
        <v>5035230.9</v>
      </c>
      <c r="E271" s="2">
        <f>N(D271)-N(C271)</f>
        <v/>
      </c>
      <c r="F271" s="3">
        <f>IF(N(C271)=0,"n/a",E271/C271)</f>
        <v/>
      </c>
      <c r="G271" t="inlineStr"/>
    </row>
    <row r="272">
      <c r="A272" t="inlineStr">
        <is>
          <t>SIBN</t>
        </is>
      </c>
      <c r="B272" t="inlineStr">
        <is>
          <t>SI BONE</t>
        </is>
      </c>
      <c r="C272" s="2" t="n">
        <v>19229524.16</v>
      </c>
      <c r="D272" s="2" t="n">
        <v>21367967.2</v>
      </c>
      <c r="E272" s="2">
        <f>N(D272)-N(C272)</f>
        <v/>
      </c>
      <c r="F272" s="3">
        <f>IF(N(C272)=0,"n/a",E272/C272)</f>
        <v/>
      </c>
      <c r="G272" t="inlineStr"/>
    </row>
    <row r="273">
      <c r="A273" t="inlineStr">
        <is>
          <t>MNPR</t>
        </is>
      </c>
      <c r="B273" t="inlineStr">
        <is>
          <t>MONOPAR THERAPEUTICS</t>
        </is>
      </c>
      <c r="C273" s="2" t="n">
        <v>7464377.7</v>
      </c>
      <c r="D273" s="2" t="n">
        <v>9522397.41</v>
      </c>
      <c r="E273" s="2">
        <f>N(D273)-N(C273)</f>
        <v/>
      </c>
      <c r="F273" s="3">
        <f>IF(N(C273)=0,"n/a",E273/C273)</f>
        <v/>
      </c>
      <c r="G273" t="inlineStr"/>
    </row>
    <row r="274">
      <c r="A274" t="inlineStr">
        <is>
          <t>OSUR</t>
        </is>
      </c>
      <c r="B274" t="inlineStr">
        <is>
          <t>ORASURE TECHNOLOGIES INC</t>
        </is>
      </c>
      <c r="C274" s="2" t="n">
        <v>4406256.14</v>
      </c>
      <c r="D274" s="2" t="n">
        <v>6443739.12</v>
      </c>
      <c r="E274" s="2">
        <f>N(D274)-N(C274)</f>
        <v/>
      </c>
      <c r="F274" s="3">
        <f>IF(N(C274)=0,"n/a",E274/C274)</f>
        <v/>
      </c>
      <c r="G274" t="inlineStr"/>
    </row>
    <row r="275">
      <c r="A275" t="inlineStr">
        <is>
          <t>ANGO</t>
        </is>
      </c>
      <c r="B275" t="inlineStr">
        <is>
          <t>ANGIODYNAMICS</t>
        </is>
      </c>
      <c r="C275" s="2" t="n">
        <v>12767081.64</v>
      </c>
      <c r="D275" s="2" t="n">
        <v>14783932.72</v>
      </c>
      <c r="E275" s="2">
        <f>N(D275)-N(C275)</f>
        <v/>
      </c>
      <c r="F275" s="3">
        <f>IF(N(C275)=0,"n/a",E275/C275)</f>
        <v/>
      </c>
      <c r="G275" t="inlineStr"/>
    </row>
    <row r="276">
      <c r="A276" t="inlineStr">
        <is>
          <t>AUPH</t>
        </is>
      </c>
      <c r="B276" t="inlineStr">
        <is>
          <t>AURINIA PHARMACEUTICALS</t>
        </is>
      </c>
      <c r="C276" s="2" t="n">
        <v>48056345.15</v>
      </c>
      <c r="D276" s="2" t="n">
        <v>50038825.15</v>
      </c>
      <c r="E276" s="2">
        <f>N(D276)-N(C276)</f>
        <v/>
      </c>
      <c r="F276" s="3">
        <f>IF(N(C276)=0,"n/a",E276/C276)</f>
        <v/>
      </c>
      <c r="G276" t="inlineStr"/>
    </row>
    <row r="277">
      <c r="A277" t="inlineStr">
        <is>
          <t>NAUT</t>
        </is>
      </c>
      <c r="B277" t="inlineStr">
        <is>
          <t>NAUTILUS BIOTECHNOLGY</t>
        </is>
      </c>
      <c r="C277" s="2" t="n"/>
      <c r="D277" s="2" t="n">
        <v>1904496.9</v>
      </c>
      <c r="E277" s="2">
        <f>N(D277)-N(C277)</f>
        <v/>
      </c>
      <c r="F277" s="3">
        <f>IF(N(C277)=0,"n/a",E277/C277)</f>
        <v/>
      </c>
      <c r="G277" t="inlineStr">
        <is>
          <t>신규(9/30에만 존재)</t>
        </is>
      </c>
    </row>
    <row r="278">
      <c r="A278" t="inlineStr">
        <is>
          <t>MOBI</t>
        </is>
      </c>
      <c r="B278" t="inlineStr">
        <is>
          <t>MOBIA MEDICAL INC</t>
        </is>
      </c>
      <c r="C278" s="2" t="n"/>
      <c r="D278" s="2" t="n">
        <v>1871118.9</v>
      </c>
      <c r="E278" s="2">
        <f>N(D278)-N(C278)</f>
        <v/>
      </c>
      <c r="F278" s="3">
        <f>IF(N(C278)=0,"n/a",E278/C278)</f>
        <v/>
      </c>
      <c r="G278" t="inlineStr">
        <is>
          <t>신규(9/30에만 존재)</t>
        </is>
      </c>
    </row>
    <row r="279">
      <c r="A279" t="inlineStr">
        <is>
          <t>UTMD</t>
        </is>
      </c>
      <c r="B279" t="inlineStr">
        <is>
          <t>UTAH MEDICAL PRODUCTS INC</t>
        </is>
      </c>
      <c r="C279" s="2" t="n">
        <v>3248925.68</v>
      </c>
      <c r="D279" s="2" t="n">
        <v>5018886.85</v>
      </c>
      <c r="E279" s="2">
        <f>N(D279)-N(C279)</f>
        <v/>
      </c>
      <c r="F279" s="3">
        <f>IF(N(C279)=0,"n/a",E279/C279)</f>
        <v/>
      </c>
      <c r="G279" t="inlineStr"/>
    </row>
    <row r="280">
      <c r="A280" t="inlineStr">
        <is>
          <t>PDEX</t>
        </is>
      </c>
      <c r="B280" t="inlineStr">
        <is>
          <t>PRO DEX INC</t>
        </is>
      </c>
      <c r="C280" s="2" t="n">
        <v>2236072.8</v>
      </c>
      <c r="D280" s="2" t="n">
        <v>3991443</v>
      </c>
      <c r="E280" s="2">
        <f>N(D280)-N(C280)</f>
        <v/>
      </c>
      <c r="F280" s="3">
        <f>IF(N(C280)=0,"n/a",E280/C280)</f>
        <v/>
      </c>
      <c r="G280" t="inlineStr"/>
    </row>
    <row r="281">
      <c r="A281" t="inlineStr">
        <is>
          <t>VMD</t>
        </is>
      </c>
      <c r="B281" t="inlineStr">
        <is>
          <t>VIEMED HEALTHCARE INC</t>
        </is>
      </c>
      <c r="C281" s="2" t="n">
        <v>6210573.54</v>
      </c>
      <c r="D281" s="2" t="n">
        <v>7957413.1</v>
      </c>
      <c r="E281" s="2">
        <f>N(D281)-N(C281)</f>
        <v/>
      </c>
      <c r="F281" s="3">
        <f>IF(N(C281)=0,"n/a",E281/C281)</f>
        <v/>
      </c>
      <c r="G281" t="inlineStr"/>
    </row>
    <row r="282">
      <c r="A282" t="inlineStr">
        <is>
          <t>TENX</t>
        </is>
      </c>
      <c r="B282" t="inlineStr">
        <is>
          <t>TENAX THERAPEUTICS INC</t>
        </is>
      </c>
      <c r="C282" s="2" t="n"/>
      <c r="D282" s="2" t="n">
        <v>1745335.62</v>
      </c>
      <c r="E282" s="2">
        <f>N(D282)-N(C282)</f>
        <v/>
      </c>
      <c r="F282" s="3">
        <f>IF(N(C282)=0,"n/a",E282/C282)</f>
        <v/>
      </c>
      <c r="G282" t="inlineStr">
        <is>
          <t>신규(9/30에만 존재)</t>
        </is>
      </c>
    </row>
    <row r="283">
      <c r="A283" t="inlineStr">
        <is>
          <t>TKNO</t>
        </is>
      </c>
      <c r="B283" t="inlineStr">
        <is>
          <t>ALPHA TEKNOVA</t>
        </is>
      </c>
      <c r="C283" s="2" t="n">
        <v>1004625</v>
      </c>
      <c r="D283" s="2" t="n">
        <v>2735539.6</v>
      </c>
      <c r="E283" s="2">
        <f>N(D283)-N(C283)</f>
        <v/>
      </c>
      <c r="F283" s="3">
        <f>IF(N(C283)=0,"n/a",E283/C283)</f>
        <v/>
      </c>
      <c r="G283" t="inlineStr"/>
    </row>
    <row r="284">
      <c r="A284" t="inlineStr">
        <is>
          <t>ALEC</t>
        </is>
      </c>
      <c r="B284" t="inlineStr">
        <is>
          <t>ALECTOR</t>
        </is>
      </c>
      <c r="C284" s="2" t="n">
        <v>3118805.04</v>
      </c>
      <c r="D284" s="2" t="n">
        <v>4738094.2</v>
      </c>
      <c r="E284" s="2">
        <f>N(D284)-N(C284)</f>
        <v/>
      </c>
      <c r="F284" s="3">
        <f>IF(N(C284)=0,"n/a",E284/C284)</f>
        <v/>
      </c>
      <c r="G284" t="inlineStr"/>
    </row>
    <row r="285">
      <c r="A285" t="inlineStr">
        <is>
          <t>OKUR</t>
        </is>
      </c>
      <c r="B285" t="inlineStr">
        <is>
          <t>ONKURE THERAPEUTICS INC CLASS A</t>
        </is>
      </c>
      <c r="C285" s="2" t="n"/>
      <c r="D285" s="2" t="n">
        <v>1558569.2</v>
      </c>
      <c r="E285" s="2">
        <f>N(D285)-N(C285)</f>
        <v/>
      </c>
      <c r="F285" s="3">
        <f>IF(N(C285)=0,"n/a",E285/C285)</f>
        <v/>
      </c>
      <c r="G285" t="inlineStr">
        <is>
          <t>신규(9/30에만 존재)</t>
        </is>
      </c>
    </row>
    <row r="286">
      <c r="A286" t="inlineStr">
        <is>
          <t>KRRO</t>
        </is>
      </c>
      <c r="B286" t="inlineStr">
        <is>
          <t>KORRO BIO</t>
        </is>
      </c>
      <c r="C286" s="2" t="n">
        <v>1329107.31</v>
      </c>
      <c r="D286" s="2" t="n">
        <v>2859639.51</v>
      </c>
      <c r="E286" s="2">
        <f>N(D286)-N(C286)</f>
        <v/>
      </c>
      <c r="F286" s="3">
        <f>IF(N(C286)=0,"n/a",E286/C286)</f>
        <v/>
      </c>
      <c r="G286" t="inlineStr"/>
    </row>
    <row r="287">
      <c r="A287" t="inlineStr">
        <is>
          <t>ARDT</t>
        </is>
      </c>
      <c r="B287" t="inlineStr">
        <is>
          <t>ARDENT HEALTH INC</t>
        </is>
      </c>
      <c r="C287" s="2" t="n">
        <v>5194221.01</v>
      </c>
      <c r="D287" s="2" t="n">
        <v>6697817.72</v>
      </c>
      <c r="E287" s="2">
        <f>N(D287)-N(C287)</f>
        <v/>
      </c>
      <c r="F287" s="3">
        <f>IF(N(C287)=0,"n/a",E287/C287)</f>
        <v/>
      </c>
      <c r="G287" t="inlineStr"/>
    </row>
    <row r="288">
      <c r="A288" t="inlineStr">
        <is>
          <t>NMRA</t>
        </is>
      </c>
      <c r="B288" t="inlineStr">
        <is>
          <t>NEUMORA THERAPEUTICS INC</t>
        </is>
      </c>
      <c r="C288" s="2" t="n"/>
      <c r="D288" s="2" t="n">
        <v>1500715.29</v>
      </c>
      <c r="E288" s="2">
        <f>N(D288)-N(C288)</f>
        <v/>
      </c>
      <c r="F288" s="3">
        <f>IF(N(C288)=0,"n/a",E288/C288)</f>
        <v/>
      </c>
      <c r="G288" t="inlineStr">
        <is>
          <t>신규(9/30에만 존재)</t>
        </is>
      </c>
    </row>
    <row r="289">
      <c r="A289" t="inlineStr">
        <is>
          <t>HYPR</t>
        </is>
      </c>
      <c r="B289" t="inlineStr">
        <is>
          <t>HYPERFINE CLASS A</t>
        </is>
      </c>
      <c r="C289" s="2" t="n"/>
      <c r="D289" s="2" t="n">
        <v>1369862.19</v>
      </c>
      <c r="E289" s="2">
        <f>N(D289)-N(C289)</f>
        <v/>
      </c>
      <c r="F289" s="3">
        <f>IF(N(C289)=0,"n/a",E289/C289)</f>
        <v/>
      </c>
      <c r="G289" t="inlineStr">
        <is>
          <t>신규(9/30에만 존재)</t>
        </is>
      </c>
    </row>
    <row r="290">
      <c r="A290" t="inlineStr">
        <is>
          <t>SBC</t>
        </is>
      </c>
      <c r="B290" t="inlineStr">
        <is>
          <t>SBC MEDICAL GROUP HOLDINGS INC</t>
        </is>
      </c>
      <c r="C290" s="2" t="n">
        <v>925555.26</v>
      </c>
      <c r="D290" s="2" t="n">
        <v>2271515.74</v>
      </c>
      <c r="E290" s="2">
        <f>N(D290)-N(C290)</f>
        <v/>
      </c>
      <c r="F290" s="3">
        <f>IF(N(C290)=0,"n/a",E290/C290)</f>
        <v/>
      </c>
      <c r="G290" t="inlineStr"/>
    </row>
    <row r="291">
      <c r="A291" t="inlineStr">
        <is>
          <t>SGHT</t>
        </is>
      </c>
      <c r="B291" t="inlineStr">
        <is>
          <t>SIGHT SCIENCES</t>
        </is>
      </c>
      <c r="C291" s="2" t="n">
        <v>8344437.66</v>
      </c>
      <c r="D291" s="2" t="n">
        <v>9686879.279999999</v>
      </c>
      <c r="E291" s="2">
        <f>N(D291)-N(C291)</f>
        <v/>
      </c>
      <c r="F291" s="3">
        <f>IF(N(C291)=0,"n/a",E291/C291)</f>
        <v/>
      </c>
      <c r="G291" t="inlineStr"/>
    </row>
    <row r="292">
      <c r="A292" t="inlineStr">
        <is>
          <t>CARL</t>
        </is>
      </c>
      <c r="B292" t="inlineStr">
        <is>
          <t>CARLSMED</t>
        </is>
      </c>
      <c r="C292" s="2" t="n">
        <v>1883412.05</v>
      </c>
      <c r="D292" s="2" t="n">
        <v>3012851.31</v>
      </c>
      <c r="E292" s="2">
        <f>N(D292)-N(C292)</f>
        <v/>
      </c>
      <c r="F292" s="3">
        <f>IF(N(C292)=0,"n/a",E292/C292)</f>
        <v/>
      </c>
      <c r="G292" t="inlineStr"/>
    </row>
    <row r="293">
      <c r="A293" t="inlineStr">
        <is>
          <t>ACH</t>
        </is>
      </c>
      <c r="B293" t="inlineStr">
        <is>
          <t>ACCENDRA HEALTH</t>
        </is>
      </c>
      <c r="C293" s="2" t="n"/>
      <c r="D293" s="2" t="n">
        <v>1118122.04</v>
      </c>
      <c r="E293" s="2">
        <f>N(D293)-N(C293)</f>
        <v/>
      </c>
      <c r="F293" s="3">
        <f>IF(N(C293)=0,"n/a",E293/C293)</f>
        <v/>
      </c>
      <c r="G293" t="inlineStr">
        <is>
          <t>신규(9/30에만 존재)</t>
        </is>
      </c>
    </row>
    <row r="294">
      <c r="A294" t="inlineStr">
        <is>
          <t>GYRE</t>
        </is>
      </c>
      <c r="B294" t="inlineStr">
        <is>
          <t>GYRE THERAPEUTICS</t>
        </is>
      </c>
      <c r="C294" s="2" t="n">
        <v>1802898.08</v>
      </c>
      <c r="D294" s="2" t="n">
        <v>2905010.94</v>
      </c>
      <c r="E294" s="2">
        <f>N(D294)-N(C294)</f>
        <v/>
      </c>
      <c r="F294" s="3">
        <f>IF(N(C294)=0,"n/a",E294/C294)</f>
        <v/>
      </c>
      <c r="G294" t="inlineStr"/>
    </row>
    <row r="295">
      <c r="A295" t="inlineStr">
        <is>
          <t>INDV</t>
        </is>
      </c>
      <c r="B295" t="inlineStr">
        <is>
          <t>INDIVIOR PHARMACEUTICALS INC</t>
        </is>
      </c>
      <c r="C295" s="2" t="n">
        <v>109961543.64</v>
      </c>
      <c r="D295" s="2" t="n">
        <v>111053082.75</v>
      </c>
      <c r="E295" s="2">
        <f>N(D295)-N(C295)</f>
        <v/>
      </c>
      <c r="F295" s="3">
        <f>IF(N(C295)=0,"n/a",E295/C295)</f>
        <v/>
      </c>
      <c r="G295" t="inlineStr"/>
    </row>
    <row r="296">
      <c r="A296" t="inlineStr">
        <is>
          <t>ABUS</t>
        </is>
      </c>
      <c r="B296" t="inlineStr">
        <is>
          <t>ARBUTUS BIOPHARMA CORP</t>
        </is>
      </c>
      <c r="C296" s="2" t="n">
        <v>18472242.23</v>
      </c>
      <c r="D296" s="2" t="n">
        <v>19504794.78</v>
      </c>
      <c r="E296" s="2">
        <f>N(D296)-N(C296)</f>
        <v/>
      </c>
      <c r="F296" s="3">
        <f>IF(N(C296)=0,"n/a",E296/C296)</f>
        <v/>
      </c>
      <c r="G296" t="inlineStr"/>
    </row>
    <row r="297">
      <c r="A297" t="inlineStr">
        <is>
          <t>STOK</t>
        </is>
      </c>
      <c r="B297" t="inlineStr">
        <is>
          <t>STOKE THERAPEUTICS</t>
        </is>
      </c>
      <c r="C297" s="2" t="n">
        <v>36061274.04</v>
      </c>
      <c r="D297" s="2" t="n">
        <v>37090274</v>
      </c>
      <c r="E297" s="2">
        <f>N(D297)-N(C297)</f>
        <v/>
      </c>
      <c r="F297" s="3">
        <f>IF(N(C297)=0,"n/a",E297/C297)</f>
        <v/>
      </c>
      <c r="G297" t="inlineStr"/>
    </row>
    <row r="298">
      <c r="A298" t="inlineStr">
        <is>
          <t>ALMS</t>
        </is>
      </c>
      <c r="B298" t="inlineStr">
        <is>
          <t>ALUMIS</t>
        </is>
      </c>
      <c r="C298" s="2" t="n">
        <v>14021450.24</v>
      </c>
      <c r="D298" s="2" t="n">
        <v>15038044.02</v>
      </c>
      <c r="E298" s="2">
        <f>N(D298)-N(C298)</f>
        <v/>
      </c>
      <c r="F298" s="3">
        <f>IF(N(C298)=0,"n/a",E298/C298)</f>
        <v/>
      </c>
      <c r="G298" t="inlineStr"/>
    </row>
    <row r="299">
      <c r="A299" t="inlineStr">
        <is>
          <t>LRMR</t>
        </is>
      </c>
      <c r="B299" t="inlineStr">
        <is>
          <t>LARIMAR THERAPEUTICS</t>
        </is>
      </c>
      <c r="C299" s="2" t="n">
        <v>4560859.56</v>
      </c>
      <c r="D299" s="2" t="n">
        <v>5538308.85</v>
      </c>
      <c r="E299" s="2">
        <f>N(D299)-N(C299)</f>
        <v/>
      </c>
      <c r="F299" s="3">
        <f>IF(N(C299)=0,"n/a",E299/C299)</f>
        <v/>
      </c>
      <c r="G299" t="inlineStr"/>
    </row>
    <row r="300">
      <c r="A300" t="inlineStr">
        <is>
          <t>DMAC</t>
        </is>
      </c>
      <c r="B300" t="inlineStr">
        <is>
          <t>DIAMEDICA THERAPEUTICS INC</t>
        </is>
      </c>
      <c r="C300" s="2" t="n">
        <v>6817222.6</v>
      </c>
      <c r="D300" s="2" t="n">
        <v>7757681.77</v>
      </c>
      <c r="E300" s="2">
        <f>N(D300)-N(C300)</f>
        <v/>
      </c>
      <c r="F300" s="3">
        <f>IF(N(C300)=0,"n/a",E300/C300)</f>
        <v/>
      </c>
      <c r="G300" t="inlineStr"/>
    </row>
    <row r="301">
      <c r="A301" t="inlineStr">
        <is>
          <t>NKTX</t>
        </is>
      </c>
      <c r="B301" t="inlineStr">
        <is>
          <t>NKARTA</t>
        </is>
      </c>
      <c r="C301" s="2" t="n">
        <v>2110428.2</v>
      </c>
      <c r="D301" s="2" t="n">
        <v>3012641.06</v>
      </c>
      <c r="E301" s="2">
        <f>N(D301)-N(C301)</f>
        <v/>
      </c>
      <c r="F301" s="3">
        <f>IF(N(C301)=0,"n/a",E301/C301)</f>
        <v/>
      </c>
      <c r="G301" t="inlineStr"/>
    </row>
    <row r="302">
      <c r="A302" t="inlineStr">
        <is>
          <t>NRC</t>
        </is>
      </c>
      <c r="B302" t="inlineStr">
        <is>
          <t>NRC HEALTH</t>
        </is>
      </c>
      <c r="C302" s="2" t="n">
        <v>5721677.87</v>
      </c>
      <c r="D302" s="2" t="n">
        <v>6551460.63</v>
      </c>
      <c r="E302" s="2">
        <f>N(D302)-N(C302)</f>
        <v/>
      </c>
      <c r="F302" s="3">
        <f>IF(N(C302)=0,"n/a",E302/C302)</f>
        <v/>
      </c>
      <c r="G302" t="inlineStr"/>
    </row>
    <row r="303">
      <c r="A303" t="inlineStr">
        <is>
          <t>SRTA</t>
        </is>
      </c>
      <c r="B303" t="inlineStr">
        <is>
          <t>STRATA CRITICAL MEDICAL CLASS A</t>
        </is>
      </c>
      <c r="C303" s="2" t="n">
        <v>8264796.93</v>
      </c>
      <c r="D303" s="2" t="n">
        <v>9046411.85</v>
      </c>
      <c r="E303" s="2">
        <f>N(D303)-N(C303)</f>
        <v/>
      </c>
      <c r="F303" s="3">
        <f>IF(N(C303)=0,"n/a",E303/C303)</f>
        <v/>
      </c>
      <c r="G303" t="inlineStr"/>
    </row>
    <row r="304">
      <c r="A304" t="inlineStr">
        <is>
          <t>ARMP</t>
        </is>
      </c>
      <c r="B304" t="inlineStr">
        <is>
          <t>ARMATA PHARMACEUTICALS</t>
        </is>
      </c>
      <c r="C304" s="2" t="n"/>
      <c r="D304" s="2" t="n">
        <v>726953.6</v>
      </c>
      <c r="E304" s="2">
        <f>N(D304)-N(C304)</f>
        <v/>
      </c>
      <c r="F304" s="3">
        <f>IF(N(C304)=0,"n/a",E304/C304)</f>
        <v/>
      </c>
      <c r="G304" t="inlineStr">
        <is>
          <t>신규(9/30에만 존재)</t>
        </is>
      </c>
    </row>
    <row r="305">
      <c r="A305" t="inlineStr">
        <is>
          <t>CNTX</t>
        </is>
      </c>
      <c r="B305" t="inlineStr">
        <is>
          <t>CONTEXT THERAPEUTICS INC</t>
        </is>
      </c>
      <c r="C305" s="2" t="n"/>
      <c r="D305" s="2" t="n">
        <v>703330.12</v>
      </c>
      <c r="E305" s="2">
        <f>N(D305)-N(C305)</f>
        <v/>
      </c>
      <c r="F305" s="3">
        <f>IF(N(C305)=0,"n/a",E305/C305)</f>
        <v/>
      </c>
      <c r="G305" t="inlineStr">
        <is>
          <t>신규(9/30에만 존재)</t>
        </is>
      </c>
    </row>
    <row r="306">
      <c r="A306" t="inlineStr">
        <is>
          <t>RNAC</t>
        </is>
      </c>
      <c r="B306" t="inlineStr">
        <is>
          <t>CARTESIAN THERAPEUTICS</t>
        </is>
      </c>
      <c r="C306" s="2" t="n">
        <v>1830200.82</v>
      </c>
      <c r="D306" s="2" t="n">
        <v>2453656.73</v>
      </c>
      <c r="E306" s="2">
        <f>N(D306)-N(C306)</f>
        <v/>
      </c>
      <c r="F306" s="3">
        <f>IF(N(C306)=0,"n/a",E306/C306)</f>
        <v/>
      </c>
      <c r="G306" t="inlineStr"/>
    </row>
    <row r="307">
      <c r="A307" t="inlineStr">
        <is>
          <t>KPTI</t>
        </is>
      </c>
      <c r="B307" t="inlineStr">
        <is>
          <t>KARYOPHARM THERAPEUTICS</t>
        </is>
      </c>
      <c r="C307" s="2" t="n"/>
      <c r="D307" s="2" t="n">
        <v>601226.98</v>
      </c>
      <c r="E307" s="2">
        <f>N(D307)-N(C307)</f>
        <v/>
      </c>
      <c r="F307" s="3">
        <f>IF(N(C307)=0,"n/a",E307/C307)</f>
        <v/>
      </c>
      <c r="G307" t="inlineStr">
        <is>
          <t>신규(9/30에만 존재)</t>
        </is>
      </c>
    </row>
    <row r="308">
      <c r="A308" t="inlineStr">
        <is>
          <t>ELTX</t>
        </is>
      </c>
      <c r="B308" t="inlineStr">
        <is>
          <t>ELICIO THERAPEUTICS INC</t>
        </is>
      </c>
      <c r="C308" s="2" t="n"/>
      <c r="D308" s="2" t="n">
        <v>583086.14</v>
      </c>
      <c r="E308" s="2">
        <f>N(D308)-N(C308)</f>
        <v/>
      </c>
      <c r="F308" s="3">
        <f>IF(N(C308)=0,"n/a",E308/C308)</f>
        <v/>
      </c>
      <c r="G308" t="inlineStr">
        <is>
          <t>신규(9/30에만 존재)</t>
        </is>
      </c>
    </row>
    <row r="309">
      <c r="A309" t="inlineStr">
        <is>
          <t>TECX</t>
        </is>
      </c>
      <c r="B309" t="inlineStr">
        <is>
          <t>TECTONIC THERAPEUTIC</t>
        </is>
      </c>
      <c r="C309" s="2" t="n">
        <v>5814349.52</v>
      </c>
      <c r="D309" s="2" t="n">
        <v>6295822.67</v>
      </c>
      <c r="E309" s="2">
        <f>N(D309)-N(C309)</f>
        <v/>
      </c>
      <c r="F309" s="3">
        <f>IF(N(C309)=0,"n/a",E309/C309)</f>
        <v/>
      </c>
      <c r="G309" t="inlineStr"/>
    </row>
    <row r="310">
      <c r="A310" t="inlineStr">
        <is>
          <t>LUCD</t>
        </is>
      </c>
      <c r="B310" t="inlineStr">
        <is>
          <t>LUCID DIAGNOSTICS INC</t>
        </is>
      </c>
      <c r="C310" s="2" t="n">
        <v>2223118.22</v>
      </c>
      <c r="D310" s="2" t="n">
        <v>2692780.34</v>
      </c>
      <c r="E310" s="2">
        <f>N(D310)-N(C310)</f>
        <v/>
      </c>
      <c r="F310" s="3">
        <f>IF(N(C310)=0,"n/a",E310/C310)</f>
        <v/>
      </c>
      <c r="G310" t="inlineStr"/>
    </row>
    <row r="311">
      <c r="A311" t="inlineStr">
        <is>
          <t>BNTC</t>
        </is>
      </c>
      <c r="B311" t="inlineStr">
        <is>
          <t>BENITEC BIOPHARMA INC</t>
        </is>
      </c>
      <c r="C311" s="2" t="n">
        <v>4902770.19</v>
      </c>
      <c r="D311" s="2" t="n">
        <v>5362200</v>
      </c>
      <c r="E311" s="2">
        <f>N(D311)-N(C311)</f>
        <v/>
      </c>
      <c r="F311" s="3">
        <f>IF(N(C311)=0,"n/a",E311/C311)</f>
        <v/>
      </c>
      <c r="G311" t="inlineStr"/>
    </row>
    <row r="312">
      <c r="A312" t="inlineStr">
        <is>
          <t>CNTB</t>
        </is>
      </c>
      <c r="B312" t="inlineStr">
        <is>
          <t>CONNECT BIOPHARMA HOLDINGS LTD</t>
        </is>
      </c>
      <c r="C312" s="2" t="n"/>
      <c r="D312" s="2" t="n">
        <v>424378.9</v>
      </c>
      <c r="E312" s="2">
        <f>N(D312)-N(C312)</f>
        <v/>
      </c>
      <c r="F312" s="3">
        <f>IF(N(C312)=0,"n/a",E312/C312)</f>
        <v/>
      </c>
      <c r="G312" t="inlineStr">
        <is>
          <t>신규(9/30에만 존재)</t>
        </is>
      </c>
    </row>
    <row r="313">
      <c r="A313" t="inlineStr">
        <is>
          <t>PAHC</t>
        </is>
      </c>
      <c r="B313" t="inlineStr">
        <is>
          <t>PHIBRO ANIMAL HEALTH CORP CLASS A</t>
        </is>
      </c>
      <c r="C313" s="2" t="n">
        <v>19311384</v>
      </c>
      <c r="D313" s="2" t="n">
        <v>19711896.64</v>
      </c>
      <c r="E313" s="2">
        <f>N(D313)-N(C313)</f>
        <v/>
      </c>
      <c r="F313" s="3">
        <f>IF(N(C313)=0,"n/a",E313/C313)</f>
        <v/>
      </c>
      <c r="G313" t="inlineStr"/>
    </row>
    <row r="314">
      <c r="A314" t="inlineStr">
        <is>
          <t>SLP</t>
        </is>
      </c>
      <c r="B314" t="inlineStr">
        <is>
          <t>SIMULATIONS PLUS</t>
        </is>
      </c>
      <c r="C314" s="2" t="n">
        <v>7680517.76</v>
      </c>
      <c r="D314" s="2" t="n">
        <v>8029619.26</v>
      </c>
      <c r="E314" s="2">
        <f>N(D314)-N(C314)</f>
        <v/>
      </c>
      <c r="F314" s="3">
        <f>IF(N(C314)=0,"n/a",E314/C314)</f>
        <v/>
      </c>
      <c r="G314" t="inlineStr"/>
    </row>
    <row r="315">
      <c r="A315" t="inlineStr">
        <is>
          <t>ABEO</t>
        </is>
      </c>
      <c r="B315" t="inlineStr">
        <is>
          <t>ABEONA THERAPEUTICS INC</t>
        </is>
      </c>
      <c r="C315" s="2" t="n">
        <v>5952649.45</v>
      </c>
      <c r="D315" s="2" t="n">
        <v>6256026</v>
      </c>
      <c r="E315" s="2">
        <f>N(D315)-N(C315)</f>
        <v/>
      </c>
      <c r="F315" s="3">
        <f>IF(N(C315)=0,"n/a",E315/C315)</f>
        <v/>
      </c>
      <c r="G315" t="inlineStr"/>
    </row>
    <row r="316">
      <c r="A316" t="inlineStr">
        <is>
          <t>INH</t>
        </is>
      </c>
      <c r="B316" t="inlineStr">
        <is>
          <t>INHIBRX INC CVR</t>
        </is>
      </c>
      <c r="C316" s="2" t="n">
        <v>1302875.04</v>
      </c>
      <c r="D316" s="2" t="n">
        <v>1525317.12</v>
      </c>
      <c r="E316" s="2">
        <f>N(D316)-N(C316)</f>
        <v/>
      </c>
      <c r="F316" s="3">
        <f>IF(N(C316)=0,"n/a",E316/C316)</f>
        <v/>
      </c>
      <c r="G316" t="inlineStr"/>
    </row>
    <row r="317">
      <c r="A317" t="inlineStr">
        <is>
          <t>TLSI</t>
        </is>
      </c>
      <c r="B317" t="inlineStr">
        <is>
          <t>TRISALUS LF SC CM A</t>
        </is>
      </c>
      <c r="C317" s="2" t="n">
        <v>4649866.6</v>
      </c>
      <c r="D317" s="2" t="n">
        <v>4838462.03</v>
      </c>
      <c r="E317" s="2">
        <f>N(D317)-N(C317)</f>
        <v/>
      </c>
      <c r="F317" s="3">
        <f>IF(N(C317)=0,"n/a",E317/C317)</f>
        <v/>
      </c>
      <c r="G317" t="inlineStr"/>
    </row>
    <row r="318">
      <c r="A318" t="inlineStr">
        <is>
          <t>GLSI</t>
        </is>
      </c>
      <c r="B318" t="inlineStr">
        <is>
          <t>GREENWICH LIFESCIENCES INC</t>
        </is>
      </c>
      <c r="C318" s="2" t="n">
        <v>3448917.56</v>
      </c>
      <c r="D318" s="2" t="n">
        <v>3627039.2</v>
      </c>
      <c r="E318" s="2">
        <f>N(D318)-N(C318)</f>
        <v/>
      </c>
      <c r="F318" s="3">
        <f>IF(N(C318)=0,"n/a",E318/C318)</f>
        <v/>
      </c>
      <c r="G318" t="inlineStr"/>
    </row>
    <row r="319">
      <c r="A319" t="inlineStr">
        <is>
          <t>ELMD</t>
        </is>
      </c>
      <c r="B319" t="inlineStr">
        <is>
          <t>ELECTROMED INC</t>
        </is>
      </c>
      <c r="C319" s="2" t="n">
        <v>4747812.16</v>
      </c>
      <c r="D319" s="2" t="n">
        <v>4844719.68</v>
      </c>
      <c r="E319" s="2">
        <f>N(D319)-N(C319)</f>
        <v/>
      </c>
      <c r="F319" s="3">
        <f>IF(N(C319)=0,"n/a",E319/C319)</f>
        <v/>
      </c>
      <c r="G319" t="inlineStr"/>
    </row>
    <row r="320">
      <c r="A320" t="inlineStr">
        <is>
          <t>CDXS</t>
        </is>
      </c>
      <c r="B320" t="inlineStr">
        <is>
          <t>CODEXIS</t>
        </is>
      </c>
      <c r="C320" s="2" t="n">
        <v>3443135.39</v>
      </c>
      <c r="D320" s="2" t="n">
        <v>3522700.63</v>
      </c>
      <c r="E320" s="2">
        <f>N(D320)-N(C320)</f>
        <v/>
      </c>
      <c r="F320" s="3">
        <f>IF(N(C320)=0,"n/a",E320/C320)</f>
        <v/>
      </c>
      <c r="G320" t="inlineStr"/>
    </row>
    <row r="321">
      <c r="A321" t="inlineStr">
        <is>
          <t>CHRS</t>
        </is>
      </c>
      <c r="B321" t="inlineStr">
        <is>
          <t>COHERUS ONCOLOGY INC</t>
        </is>
      </c>
      <c r="C321" s="2" t="n">
        <v>3884584.66</v>
      </c>
      <c r="D321" s="2" t="n">
        <v>3958178.62</v>
      </c>
      <c r="E321" s="2">
        <f>N(D321)-N(C321)</f>
        <v/>
      </c>
      <c r="F321" s="3">
        <f>IF(N(C321)=0,"n/a",E321/C321)</f>
        <v/>
      </c>
      <c r="G321" t="inlineStr"/>
    </row>
    <row r="322">
      <c r="A322" t="inlineStr">
        <is>
          <t>-</t>
        </is>
      </c>
      <c r="B322" t="inlineStr">
        <is>
          <t>ARCELLX INC CVR</t>
        </is>
      </c>
      <c r="C322" s="2" t="n"/>
      <c r="D322" s="2" t="n">
        <v>65585.87</v>
      </c>
      <c r="E322" s="2">
        <f>N(D322)-N(C322)</f>
        <v/>
      </c>
      <c r="F322" s="3">
        <f>IF(N(C322)=0,"n/a",E322/C322)</f>
        <v/>
      </c>
      <c r="G322" t="inlineStr">
        <is>
          <t>신규(9/30에만 존재)</t>
        </is>
      </c>
    </row>
    <row r="323">
      <c r="A323" t="inlineStr">
        <is>
          <t>-</t>
        </is>
      </c>
      <c r="B323" t="inlineStr">
        <is>
          <t>COHERUS ONCOLOGY INC</t>
        </is>
      </c>
      <c r="C323" s="2" t="n"/>
      <c r="D323" s="2" t="n">
        <v>32.71</v>
      </c>
      <c r="E323" s="2">
        <f>N(D323)-N(C323)</f>
        <v/>
      </c>
      <c r="F323" s="3">
        <f>IF(N(C323)=0,"n/a",E323/C323)</f>
        <v/>
      </c>
      <c r="G323" t="inlineStr">
        <is>
          <t>신규(9/30에만 존재)</t>
        </is>
      </c>
    </row>
    <row r="324">
      <c r="A324" t="inlineStr">
        <is>
          <t>ADRO</t>
        </is>
      </c>
      <c r="B324" t="inlineStr">
        <is>
          <t>CHINOOK THERAPEUTICS INC CVR</t>
        </is>
      </c>
      <c r="C324" s="2" t="n">
        <v>138892.89</v>
      </c>
      <c r="D324" s="2" t="n">
        <v>138892.89</v>
      </c>
      <c r="E324" s="2">
        <f>N(D324)-N(C324)</f>
        <v/>
      </c>
      <c r="F324" s="3">
        <f>IF(N(C324)=0,"n/a",E324/C324)</f>
        <v/>
      </c>
      <c r="G324" t="inlineStr"/>
    </row>
    <row r="325">
      <c r="A325" t="inlineStr">
        <is>
          <t>-</t>
        </is>
      </c>
      <c r="B325" t="inlineStr">
        <is>
          <t>OMNIAB INC $15.00 VESTING Prvt</t>
        </is>
      </c>
      <c r="C325" s="2" t="n">
        <v>1.31</v>
      </c>
      <c r="D325" s="2" t="n">
        <v>1.31</v>
      </c>
      <c r="E325" s="2">
        <f>N(D325)-N(C325)</f>
        <v/>
      </c>
      <c r="F325" s="3">
        <f>IF(N(C325)=0,"n/a",E325/C325)</f>
        <v/>
      </c>
      <c r="G325" t="inlineStr"/>
    </row>
    <row r="326">
      <c r="A326" t="inlineStr">
        <is>
          <t>ADRO</t>
        </is>
      </c>
      <c r="B326" t="inlineStr">
        <is>
          <t>CHINOOK THERAPEUTICS INC</t>
        </is>
      </c>
      <c r="C326" s="2" t="n">
        <v>223817.75</v>
      </c>
      <c r="D326" s="2" t="n">
        <v>223817.75</v>
      </c>
      <c r="E326" s="2">
        <f>N(D326)-N(C326)</f>
        <v/>
      </c>
      <c r="F326" s="3">
        <f>IF(N(C326)=0,"n/a",E326/C326)</f>
        <v/>
      </c>
      <c r="G326" t="inlineStr"/>
    </row>
    <row r="327">
      <c r="A327" t="inlineStr">
        <is>
          <t>PDLI</t>
        </is>
      </c>
      <c r="B327" t="inlineStr">
        <is>
          <t>PDL BIOPHARMA INC</t>
        </is>
      </c>
      <c r="C327" s="2" t="n">
        <v>0.12</v>
      </c>
      <c r="D327" s="2" t="n">
        <v>0.12</v>
      </c>
      <c r="E327" s="2">
        <f>N(D327)-N(C327)</f>
        <v/>
      </c>
      <c r="F327" s="3">
        <f>IF(N(C327)=0,"n/a",E327/C327)</f>
        <v/>
      </c>
      <c r="G327" t="inlineStr"/>
    </row>
    <row r="328">
      <c r="A328" t="inlineStr">
        <is>
          <t>GTXI</t>
        </is>
      </c>
      <c r="B328" t="inlineStr">
        <is>
          <t>GTXI INC - CVR</t>
        </is>
      </c>
      <c r="C328" s="2" t="n">
        <v>0.13</v>
      </c>
      <c r="D328" s="2" t="n">
        <v>0.13</v>
      </c>
      <c r="E328" s="2">
        <f>N(D328)-N(C328)</f>
        <v/>
      </c>
      <c r="F328" s="3">
        <f>IF(N(C328)=0,"n/a",E328/C328)</f>
        <v/>
      </c>
      <c r="G328" t="inlineStr"/>
    </row>
    <row r="329">
      <c r="A329" t="inlineStr">
        <is>
          <t>-</t>
        </is>
      </c>
      <c r="B329" t="inlineStr">
        <is>
          <t>OMNIAB INC $12.50 VESTING Prvt</t>
        </is>
      </c>
      <c r="C329" s="2" t="n">
        <v>1.31</v>
      </c>
      <c r="D329" s="2" t="n">
        <v>1.31</v>
      </c>
      <c r="E329" s="2">
        <f>N(D329)-N(C329)</f>
        <v/>
      </c>
      <c r="F329" s="3">
        <f>IF(N(C329)=0,"n/a",E329/C329)</f>
        <v/>
      </c>
      <c r="G329" t="inlineStr"/>
    </row>
    <row r="330">
      <c r="A330" t="inlineStr">
        <is>
          <t>-</t>
        </is>
      </c>
      <c r="B330" t="inlineStr">
        <is>
          <t>PULSE BIOSCIENCE INC WARRANTS</t>
        </is>
      </c>
      <c r="C330" s="2" t="n">
        <v>5536.44</v>
      </c>
      <c r="D330" s="2" t="n"/>
      <c r="E330" s="2">
        <f>N(D330)-N(C330)</f>
        <v/>
      </c>
      <c r="F330" s="3">
        <f>IF(N(C330)=0,"n/a",E330/C330)</f>
        <v/>
      </c>
      <c r="G330" t="inlineStr">
        <is>
          <t>제외(1/1에만 존재)</t>
        </is>
      </c>
    </row>
    <row r="331">
      <c r="A331" t="inlineStr">
        <is>
          <t>AKE</t>
        </is>
      </c>
      <c r="B331" t="inlineStr">
        <is>
          <t>AKERO THERAPEUTICS CVR</t>
        </is>
      </c>
      <c r="C331" s="2" t="n">
        <v>1125266.35</v>
      </c>
      <c r="D331" s="2" t="n">
        <v>1107954.56</v>
      </c>
      <c r="E331" s="2">
        <f>N(D331)-N(C331)</f>
        <v/>
      </c>
      <c r="F331" s="3">
        <f>IF(N(C331)=0,"n/a",E331/C331)</f>
        <v/>
      </c>
      <c r="G331" t="inlineStr"/>
    </row>
    <row r="332">
      <c r="A332" t="inlineStr">
        <is>
          <t>THRD</t>
        </is>
      </c>
      <c r="B332" t="inlineStr">
        <is>
          <t>THIRD HARMONIC BIO INC</t>
        </is>
      </c>
      <c r="C332" s="2" t="n">
        <v>18103.44</v>
      </c>
      <c r="D332" s="2" t="n">
        <v>6.03</v>
      </c>
      <c r="E332" s="2">
        <f>N(D332)-N(C332)</f>
        <v/>
      </c>
      <c r="F332" s="3">
        <f>IF(N(C332)=0,"n/a",E332/C332)</f>
        <v/>
      </c>
      <c r="G332" t="inlineStr"/>
    </row>
    <row r="333">
      <c r="A333" t="inlineStr">
        <is>
          <t>TVGN</t>
        </is>
      </c>
      <c r="B333" t="inlineStr">
        <is>
          <t>TEVOGEN BIO HOLDINGS INC</t>
        </is>
      </c>
      <c r="C333" s="2" t="n">
        <v>170144.34</v>
      </c>
      <c r="D333" s="2" t="n"/>
      <c r="E333" s="2">
        <f>N(D333)-N(C333)</f>
        <v/>
      </c>
      <c r="F333" s="3">
        <f>IF(N(C333)=0,"n/a",E333/C333)</f>
        <v/>
      </c>
      <c r="G333" t="inlineStr">
        <is>
          <t>제외(1/1에만 존재)</t>
        </is>
      </c>
    </row>
    <row r="334">
      <c r="A334" t="inlineStr">
        <is>
          <t>CLPT</t>
        </is>
      </c>
      <c r="B334" t="inlineStr">
        <is>
          <t>CLEARPOINT NEURO INC</t>
        </is>
      </c>
      <c r="C334" s="2" t="n">
        <v>8991905.039999999</v>
      </c>
      <c r="D334" s="2" t="n">
        <v>8810308.65</v>
      </c>
      <c r="E334" s="2">
        <f>N(D334)-N(C334)</f>
        <v/>
      </c>
      <c r="F334" s="3">
        <f>IF(N(C334)=0,"n/a",E334/C334)</f>
        <v/>
      </c>
      <c r="G334" t="inlineStr"/>
    </row>
    <row r="335">
      <c r="A335" t="inlineStr">
        <is>
          <t>AIRS</t>
        </is>
      </c>
      <c r="B335" t="inlineStr">
        <is>
          <t>AIRSCULPT TECHNOLOGIES INC</t>
        </is>
      </c>
      <c r="C335" s="2" t="n">
        <v>864810.54</v>
      </c>
      <c r="D335" s="2" t="n">
        <v>654397.92</v>
      </c>
      <c r="E335" s="2">
        <f>N(D335)-N(C335)</f>
        <v/>
      </c>
      <c r="F335" s="3">
        <f>IF(N(C335)=0,"n/a",E335/C335)</f>
        <v/>
      </c>
      <c r="G335" t="inlineStr"/>
    </row>
    <row r="336">
      <c r="A336" t="inlineStr">
        <is>
          <t>TARA</t>
        </is>
      </c>
      <c r="B336" t="inlineStr">
        <is>
          <t>PROTARA THERAPEUTICS INC</t>
        </is>
      </c>
      <c r="C336" s="2" t="n">
        <v>4552640.82</v>
      </c>
      <c r="D336" s="2" t="n">
        <v>4182120.35</v>
      </c>
      <c r="E336" s="2">
        <f>N(D336)-N(C336)</f>
        <v/>
      </c>
      <c r="F336" s="3">
        <f>IF(N(C336)=0,"n/a",E336/C336)</f>
        <v/>
      </c>
      <c r="G336" t="inlineStr"/>
    </row>
    <row r="337">
      <c r="A337" t="inlineStr">
        <is>
          <t>LFMD</t>
        </is>
      </c>
      <c r="B337" t="inlineStr">
        <is>
          <t>LIFEMD INC</t>
        </is>
      </c>
      <c r="C337" s="2" t="n">
        <v>3415057.03</v>
      </c>
      <c r="D337" s="2" t="n">
        <v>3038617.1</v>
      </c>
      <c r="E337" s="2">
        <f>N(D337)-N(C337)</f>
        <v/>
      </c>
      <c r="F337" s="3">
        <f>IF(N(C337)=0,"n/a",E337/C337)</f>
        <v/>
      </c>
      <c r="G337" t="inlineStr"/>
    </row>
    <row r="338">
      <c r="A338" t="inlineStr">
        <is>
          <t>TNXP</t>
        </is>
      </c>
      <c r="B338" t="inlineStr">
        <is>
          <t>TONIX PHARMACEUTICALS HOLDING</t>
        </is>
      </c>
      <c r="C338" s="2" t="n">
        <v>4496060.8</v>
      </c>
      <c r="D338" s="2" t="n">
        <v>4110552.72</v>
      </c>
      <c r="E338" s="2">
        <f>N(D338)-N(C338)</f>
        <v/>
      </c>
      <c r="F338" s="3">
        <f>IF(N(C338)=0,"n/a",E338/C338)</f>
        <v/>
      </c>
      <c r="G338" t="inlineStr"/>
    </row>
    <row r="339">
      <c r="A339" t="inlineStr">
        <is>
          <t>CSTL</t>
        </is>
      </c>
      <c r="B339" t="inlineStr">
        <is>
          <t>CASTLE BIOSCIENCES</t>
        </is>
      </c>
      <c r="C339" s="2" t="n">
        <v>27993140.2</v>
      </c>
      <c r="D339" s="2" t="n">
        <v>27581867.94</v>
      </c>
      <c r="E339" s="2">
        <f>N(D339)-N(C339)</f>
        <v/>
      </c>
      <c r="F339" s="3">
        <f>IF(N(C339)=0,"n/a",E339/C339)</f>
        <v/>
      </c>
      <c r="G339" t="inlineStr"/>
    </row>
    <row r="340">
      <c r="A340" t="inlineStr">
        <is>
          <t>HURA</t>
        </is>
      </c>
      <c r="B340" t="inlineStr">
        <is>
          <t>TUHURA BIOSCIENCES INC</t>
        </is>
      </c>
      <c r="C340" s="2" t="n">
        <v>423857.18</v>
      </c>
      <c r="D340" s="2" t="n"/>
      <c r="E340" s="2">
        <f>N(D340)-N(C340)</f>
        <v/>
      </c>
      <c r="F340" s="3">
        <f>IF(N(C340)=0,"n/a",E340/C340)</f>
        <v/>
      </c>
      <c r="G340" t="inlineStr">
        <is>
          <t>제외(1/1에만 존재)</t>
        </is>
      </c>
    </row>
    <row r="341">
      <c r="A341" t="inlineStr">
        <is>
          <t>NPCE</t>
        </is>
      </c>
      <c r="B341" t="inlineStr">
        <is>
          <t>NEUROPACE</t>
        </is>
      </c>
      <c r="C341" s="2" t="n">
        <v>9964481.92</v>
      </c>
      <c r="D341" s="2" t="n">
        <v>9524011.52</v>
      </c>
      <c r="E341" s="2">
        <f>N(D341)-N(C341)</f>
        <v/>
      </c>
      <c r="F341" s="3">
        <f>IF(N(C341)=0,"n/a",E341/C341)</f>
        <v/>
      </c>
      <c r="G341" t="inlineStr"/>
    </row>
    <row r="342">
      <c r="A342" t="inlineStr">
        <is>
          <t>GERN</t>
        </is>
      </c>
      <c r="B342" t="inlineStr">
        <is>
          <t>GERON</t>
        </is>
      </c>
      <c r="C342" s="2" t="n">
        <v>18138476.4</v>
      </c>
      <c r="D342" s="2" t="n">
        <v>17655447.06</v>
      </c>
      <c r="E342" s="2">
        <f>N(D342)-N(C342)</f>
        <v/>
      </c>
      <c r="F342" s="3">
        <f>IF(N(C342)=0,"n/a",E342/C342)</f>
        <v/>
      </c>
      <c r="G342" t="inlineStr"/>
    </row>
    <row r="343">
      <c r="A343" t="inlineStr">
        <is>
          <t>INGN</t>
        </is>
      </c>
      <c r="B343" t="inlineStr">
        <is>
          <t>INOGEN</t>
        </is>
      </c>
      <c r="C343" s="2" t="n">
        <v>4032819.84</v>
      </c>
      <c r="D343" s="2" t="n">
        <v>3408514.79</v>
      </c>
      <c r="E343" s="2">
        <f>N(D343)-N(C343)</f>
        <v/>
      </c>
      <c r="F343" s="3">
        <f>IF(N(C343)=0,"n/a",E343/C343)</f>
        <v/>
      </c>
      <c r="G343" t="inlineStr"/>
    </row>
    <row r="344">
      <c r="A344" t="inlineStr">
        <is>
          <t>RYTM</t>
        </is>
      </c>
      <c r="B344" t="inlineStr">
        <is>
          <t>RHYTHM PHARMACEUTICALS</t>
        </is>
      </c>
      <c r="C344" s="2" t="n">
        <v>143102418.24</v>
      </c>
      <c r="D344" s="2" t="n">
        <v>142473060.95</v>
      </c>
      <c r="E344" s="2">
        <f>N(D344)-N(C344)</f>
        <v/>
      </c>
      <c r="F344" s="3">
        <f>IF(N(C344)=0,"n/a",E344/C344)</f>
        <v/>
      </c>
      <c r="G344" t="inlineStr"/>
    </row>
    <row r="345">
      <c r="A345" t="inlineStr">
        <is>
          <t>PGNY</t>
        </is>
      </c>
      <c r="B345" t="inlineStr">
        <is>
          <t>PROGYNY</t>
        </is>
      </c>
      <c r="C345" s="2" t="n">
        <v>48589641.6</v>
      </c>
      <c r="D345" s="2" t="n">
        <v>47918307.25</v>
      </c>
      <c r="E345" s="2">
        <f>N(D345)-N(C345)</f>
        <v/>
      </c>
      <c r="F345" s="3">
        <f>IF(N(C345)=0,"n/a",E345/C345)</f>
        <v/>
      </c>
      <c r="G345" t="inlineStr"/>
    </row>
    <row r="346">
      <c r="A346" t="inlineStr">
        <is>
          <t>INMB</t>
        </is>
      </c>
      <c r="B346" t="inlineStr">
        <is>
          <t>INMUNE BIO INC</t>
        </is>
      </c>
      <c r="C346" s="2" t="n">
        <v>672076.08</v>
      </c>
      <c r="D346" s="2" t="n"/>
      <c r="E346" s="2">
        <f>N(D346)-N(C346)</f>
        <v/>
      </c>
      <c r="F346" s="3">
        <f>IF(N(C346)=0,"n/a",E346/C346)</f>
        <v/>
      </c>
      <c r="G346" t="inlineStr">
        <is>
          <t>제외(1/1에만 존재)</t>
        </is>
      </c>
    </row>
    <row r="347">
      <c r="A347" t="inlineStr">
        <is>
          <t>MYO</t>
        </is>
      </c>
      <c r="B347" t="inlineStr">
        <is>
          <t>MYOMO INC</t>
        </is>
      </c>
      <c r="C347" s="2" t="n">
        <v>703208.87</v>
      </c>
      <c r="D347" s="2" t="n"/>
      <c r="E347" s="2">
        <f>N(D347)-N(C347)</f>
        <v/>
      </c>
      <c r="F347" s="3">
        <f>IF(N(C347)=0,"n/a",E347/C347)</f>
        <v/>
      </c>
      <c r="G347" t="inlineStr">
        <is>
          <t>제외(1/1에만 존재)</t>
        </is>
      </c>
    </row>
    <row r="348">
      <c r="A348" t="inlineStr">
        <is>
          <t>TVRD</t>
        </is>
      </c>
      <c r="B348" t="inlineStr">
        <is>
          <t>TVARDI THERAPEUTICS INC</t>
        </is>
      </c>
      <c r="C348" s="2" t="n">
        <v>721316.4</v>
      </c>
      <c r="D348" s="2" t="n"/>
      <c r="E348" s="2">
        <f>N(D348)-N(C348)</f>
        <v/>
      </c>
      <c r="F348" s="3">
        <f>IF(N(C348)=0,"n/a",E348/C348)</f>
        <v/>
      </c>
      <c r="G348" t="inlineStr">
        <is>
          <t>제외(1/1에만 존재)</t>
        </is>
      </c>
    </row>
    <row r="349">
      <c r="A349" t="inlineStr">
        <is>
          <t>MDWD</t>
        </is>
      </c>
      <c r="B349" t="inlineStr">
        <is>
          <t>MEDIWOUND LTD</t>
        </is>
      </c>
      <c r="C349" s="2" t="n">
        <v>4065076.6</v>
      </c>
      <c r="D349" s="2" t="n">
        <v>3331086.93</v>
      </c>
      <c r="E349" s="2">
        <f>N(D349)-N(C349)</f>
        <v/>
      </c>
      <c r="F349" s="3">
        <f>IF(N(C349)=0,"n/a",E349/C349)</f>
        <v/>
      </c>
      <c r="G349" t="inlineStr"/>
    </row>
    <row r="350">
      <c r="A350" t="inlineStr">
        <is>
          <t>LQDA</t>
        </is>
      </c>
      <c r="B350" t="inlineStr">
        <is>
          <t>LIQUIDIA</t>
        </is>
      </c>
      <c r="C350" s="2" t="n">
        <v>56006689.97</v>
      </c>
      <c r="D350" s="2" t="n">
        <v>55258633.28</v>
      </c>
      <c r="E350" s="2">
        <f>N(D350)-N(C350)</f>
        <v/>
      </c>
      <c r="F350" s="3">
        <f>IF(N(C350)=0,"n/a",E350/C350)</f>
        <v/>
      </c>
      <c r="G350" t="inlineStr"/>
    </row>
    <row r="351">
      <c r="A351" t="inlineStr">
        <is>
          <t>LFCR</t>
        </is>
      </c>
      <c r="B351" t="inlineStr">
        <is>
          <t>LIFECORE BIOMEDICAL</t>
        </is>
      </c>
      <c r="C351" s="2" t="n">
        <v>5609606.78</v>
      </c>
      <c r="D351" s="2" t="n">
        <v>4824304.66</v>
      </c>
      <c r="E351" s="2">
        <f>N(D351)-N(C351)</f>
        <v/>
      </c>
      <c r="F351" s="3">
        <f>IF(N(C351)=0,"n/a",E351/C351)</f>
        <v/>
      </c>
      <c r="G351" t="inlineStr"/>
    </row>
    <row r="352">
      <c r="A352" t="inlineStr">
        <is>
          <t>DRUG</t>
        </is>
      </c>
      <c r="B352" t="inlineStr">
        <is>
          <t>BRIGHT MINDS BIOSCIENCES</t>
        </is>
      </c>
      <c r="C352" s="2" t="n">
        <v>9976633.6</v>
      </c>
      <c r="D352" s="2" t="n">
        <v>9164189.720000001</v>
      </c>
      <c r="E352" s="2">
        <f>N(D352)-N(C352)</f>
        <v/>
      </c>
      <c r="F352" s="3">
        <f>IF(N(C352)=0,"n/a",E352/C352)</f>
        <v/>
      </c>
      <c r="G352" t="inlineStr"/>
    </row>
    <row r="353">
      <c r="A353" t="inlineStr">
        <is>
          <t>CYH</t>
        </is>
      </c>
      <c r="B353" t="inlineStr">
        <is>
          <t>COMMUNITY HEALTH SYSTEMS INC</t>
        </is>
      </c>
      <c r="C353" s="2" t="n">
        <v>10211257.68</v>
      </c>
      <c r="D353" s="2" t="n">
        <v>9315025.720000001</v>
      </c>
      <c r="E353" s="2">
        <f>N(D353)-N(C353)</f>
        <v/>
      </c>
      <c r="F353" s="3">
        <f>IF(N(C353)=0,"n/a",E353/C353)</f>
        <v/>
      </c>
      <c r="G353" t="inlineStr"/>
    </row>
    <row r="354">
      <c r="A354" t="inlineStr">
        <is>
          <t>ENTA</t>
        </is>
      </c>
      <c r="B354" t="inlineStr">
        <is>
          <t>ENANTA PHARMACEUTICALS INC</t>
        </is>
      </c>
      <c r="C354" s="2" t="n">
        <v>10694125.87</v>
      </c>
      <c r="D354" s="2" t="n">
        <v>9748178.42</v>
      </c>
      <c r="E354" s="2">
        <f>N(D354)-N(C354)</f>
        <v/>
      </c>
      <c r="F354" s="3">
        <f>IF(N(C354)=0,"n/a",E354/C354)</f>
        <v/>
      </c>
      <c r="G354" t="inlineStr"/>
    </row>
    <row r="355">
      <c r="A355" t="inlineStr">
        <is>
          <t>RCEL</t>
        </is>
      </c>
      <c r="B355" t="inlineStr">
        <is>
          <t>AVITA MEDICAL INC</t>
        </is>
      </c>
      <c r="C355" s="2" t="n">
        <v>970281.45</v>
      </c>
      <c r="D355" s="2" t="n"/>
      <c r="E355" s="2">
        <f>N(D355)-N(C355)</f>
        <v/>
      </c>
      <c r="F355" s="3">
        <f>IF(N(C355)=0,"n/a",E355/C355)</f>
        <v/>
      </c>
      <c r="G355" t="inlineStr">
        <is>
          <t>제외(1/1에만 존재)</t>
        </is>
      </c>
    </row>
    <row r="356">
      <c r="A356" t="inlineStr">
        <is>
          <t>VYGR</t>
        </is>
      </c>
      <c r="B356" t="inlineStr">
        <is>
          <t>VOYAGER THERAPEUTICS</t>
        </is>
      </c>
      <c r="C356" s="2" t="n">
        <v>4751185.29</v>
      </c>
      <c r="D356" s="2" t="n">
        <v>3706461.44</v>
      </c>
      <c r="E356" s="2">
        <f>N(D356)-N(C356)</f>
        <v/>
      </c>
      <c r="F356" s="3">
        <f>IF(N(C356)=0,"n/a",E356/C356)</f>
        <v/>
      </c>
      <c r="G356" t="inlineStr"/>
    </row>
    <row r="357">
      <c r="A357" t="inlineStr">
        <is>
          <t>PRTA</t>
        </is>
      </c>
      <c r="B357" t="inlineStr">
        <is>
          <t>PROTHENA PLC</t>
        </is>
      </c>
      <c r="C357" s="2" t="n">
        <v>10485298.35</v>
      </c>
      <c r="D357" s="2" t="n">
        <v>9388130.76</v>
      </c>
      <c r="E357" s="2">
        <f>N(D357)-N(C357)</f>
        <v/>
      </c>
      <c r="F357" s="3">
        <f>IF(N(C357)=0,"n/a",E357/C357)</f>
        <v/>
      </c>
      <c r="G357" t="inlineStr"/>
    </row>
    <row r="358">
      <c r="A358" t="inlineStr">
        <is>
          <t>SVRA</t>
        </is>
      </c>
      <c r="B358" t="inlineStr">
        <is>
          <t>SAVARA</t>
        </is>
      </c>
      <c r="C358" s="2" t="n">
        <v>21613745.07</v>
      </c>
      <c r="D358" s="2" t="n">
        <v>20482212.36</v>
      </c>
      <c r="E358" s="2">
        <f>N(D358)-N(C358)</f>
        <v/>
      </c>
      <c r="F358" s="3">
        <f>IF(N(C358)=0,"n/a",E358/C358)</f>
        <v/>
      </c>
      <c r="G358" t="inlineStr"/>
    </row>
    <row r="359">
      <c r="A359" t="inlineStr">
        <is>
          <t>PRME</t>
        </is>
      </c>
      <c r="B359" t="inlineStr">
        <is>
          <t>PRIME MEDICINE</t>
        </is>
      </c>
      <c r="C359" s="2" t="n">
        <v>8587785.02</v>
      </c>
      <c r="D359" s="2" t="n">
        <v>7444054.35</v>
      </c>
      <c r="E359" s="2">
        <f>N(D359)-N(C359)</f>
        <v/>
      </c>
      <c r="F359" s="3">
        <f>IF(N(C359)=0,"n/a",E359/C359)</f>
        <v/>
      </c>
      <c r="G359" t="inlineStr"/>
    </row>
    <row r="360">
      <c r="A360" t="inlineStr">
        <is>
          <t>ACTU</t>
        </is>
      </c>
      <c r="B360" t="inlineStr">
        <is>
          <t>ACTUATE THERAPEUTICS INC</t>
        </is>
      </c>
      <c r="C360" s="2" t="n">
        <v>1175450.04</v>
      </c>
      <c r="D360" s="2" t="n"/>
      <c r="E360" s="2">
        <f>N(D360)-N(C360)</f>
        <v/>
      </c>
      <c r="F360" s="3">
        <f>IF(N(C360)=0,"n/a",E360/C360)</f>
        <v/>
      </c>
      <c r="G360" t="inlineStr">
        <is>
          <t>제외(1/1에만 존재)</t>
        </is>
      </c>
    </row>
    <row r="361">
      <c r="A361" t="inlineStr">
        <is>
          <t>FHTX</t>
        </is>
      </c>
      <c r="B361" t="inlineStr">
        <is>
          <t>FOGHORN THERAPEUTICS</t>
        </is>
      </c>
      <c r="C361" s="2" t="n">
        <v>4397900.4</v>
      </c>
      <c r="D361" s="2" t="n">
        <v>3216898.44</v>
      </c>
      <c r="E361" s="2">
        <f>N(D361)-N(C361)</f>
        <v/>
      </c>
      <c r="F361" s="3">
        <f>IF(N(C361)=0,"n/a",E361/C361)</f>
        <v/>
      </c>
      <c r="G361" t="inlineStr"/>
    </row>
    <row r="362">
      <c r="A362" t="inlineStr">
        <is>
          <t>RCKT</t>
        </is>
      </c>
      <c r="B362" t="inlineStr">
        <is>
          <t>ROCKET PHARMACEUTICALS</t>
        </is>
      </c>
      <c r="C362" s="2" t="n">
        <v>7497517.95</v>
      </c>
      <c r="D362" s="2" t="n">
        <v>6270225.08</v>
      </c>
      <c r="E362" s="2">
        <f>N(D362)-N(C362)</f>
        <v/>
      </c>
      <c r="F362" s="3">
        <f>IF(N(C362)=0,"n/a",E362/C362)</f>
        <v/>
      </c>
      <c r="G362" t="inlineStr"/>
    </row>
    <row r="363">
      <c r="A363" t="inlineStr">
        <is>
          <t>STIM</t>
        </is>
      </c>
      <c r="B363" t="inlineStr">
        <is>
          <t>NEURONETICS INC</t>
        </is>
      </c>
      <c r="C363" s="2" t="n">
        <v>1346550.18</v>
      </c>
      <c r="D363" s="2" t="n"/>
      <c r="E363" s="2">
        <f>N(D363)-N(C363)</f>
        <v/>
      </c>
      <c r="F363" s="3">
        <f>IF(N(C363)=0,"n/a",E363/C363)</f>
        <v/>
      </c>
      <c r="G363" t="inlineStr">
        <is>
          <t>제외(1/1에만 존재)</t>
        </is>
      </c>
    </row>
    <row r="364">
      <c r="A364" t="inlineStr">
        <is>
          <t>STXS</t>
        </is>
      </c>
      <c r="B364" t="inlineStr">
        <is>
          <t>STEREOTAXIS INC</t>
        </is>
      </c>
      <c r="C364" s="2" t="n">
        <v>3432710.9</v>
      </c>
      <c r="D364" s="2" t="n">
        <v>2020741.17</v>
      </c>
      <c r="E364" s="2">
        <f>N(D364)-N(C364)</f>
        <v/>
      </c>
      <c r="F364" s="3">
        <f>IF(N(C364)=0,"n/a",E364/C364)</f>
        <v/>
      </c>
      <c r="G364" t="inlineStr"/>
    </row>
    <row r="365">
      <c r="A365" t="inlineStr">
        <is>
          <t>SGRY</t>
        </is>
      </c>
      <c r="B365" t="inlineStr">
        <is>
          <t>SURGERY PARTNERS</t>
        </is>
      </c>
      <c r="C365" s="2" t="n">
        <v>30077086.65</v>
      </c>
      <c r="D365" s="2" t="n">
        <v>28615058.3</v>
      </c>
      <c r="E365" s="2">
        <f>N(D365)-N(C365)</f>
        <v/>
      </c>
      <c r="F365" s="3">
        <f>IF(N(C365)=0,"n/a",E365/C365)</f>
        <v/>
      </c>
      <c r="G365" t="inlineStr"/>
    </row>
    <row r="366">
      <c r="A366" t="inlineStr">
        <is>
          <t>OM</t>
        </is>
      </c>
      <c r="B366" t="inlineStr">
        <is>
          <t>OUTSET MEDICAL INC</t>
        </is>
      </c>
      <c r="C366" s="2" t="n">
        <v>1581239.1</v>
      </c>
      <c r="D366" s="2" t="n"/>
      <c r="E366" s="2">
        <f>N(D366)-N(C366)</f>
        <v/>
      </c>
      <c r="F366" s="3">
        <f>IF(N(C366)=0,"n/a",E366/C366)</f>
        <v/>
      </c>
      <c r="G366" t="inlineStr">
        <is>
          <t>제외(1/1에만 존재)</t>
        </is>
      </c>
    </row>
    <row r="367">
      <c r="A367" t="inlineStr">
        <is>
          <t>EVH</t>
        </is>
      </c>
      <c r="B367" t="inlineStr">
        <is>
          <t>EVOLENT HEALTH CLASS A</t>
        </is>
      </c>
      <c r="C367" s="2" t="n">
        <v>11820168</v>
      </c>
      <c r="D367" s="2" t="n">
        <v>10164136.4</v>
      </c>
      <c r="E367" s="2">
        <f>N(D367)-N(C367)</f>
        <v/>
      </c>
      <c r="F367" s="3">
        <f>IF(N(C367)=0,"n/a",E367/C367)</f>
        <v/>
      </c>
      <c r="G367" t="inlineStr"/>
    </row>
    <row r="368">
      <c r="A368" t="inlineStr">
        <is>
          <t>ATYR</t>
        </is>
      </c>
      <c r="B368" t="inlineStr">
        <is>
          <t>ATYR PHARMA INC</t>
        </is>
      </c>
      <c r="C368" s="2" t="n">
        <v>1744404.59</v>
      </c>
      <c r="D368" s="2" t="n"/>
      <c r="E368" s="2">
        <f>N(D368)-N(C368)</f>
        <v/>
      </c>
      <c r="F368" s="3">
        <f>IF(N(C368)=0,"n/a",E368/C368)</f>
        <v/>
      </c>
      <c r="G368" t="inlineStr">
        <is>
          <t>제외(1/1에만 존재)</t>
        </is>
      </c>
    </row>
    <row r="369">
      <c r="A369" t="inlineStr">
        <is>
          <t>IRMD</t>
        </is>
      </c>
      <c r="B369" t="inlineStr">
        <is>
          <t>IRADIMED</t>
        </is>
      </c>
      <c r="C369" s="2" t="n">
        <v>19976934.4</v>
      </c>
      <c r="D369" s="2" t="n">
        <v>18215613.18</v>
      </c>
      <c r="E369" s="2">
        <f>N(D369)-N(C369)</f>
        <v/>
      </c>
      <c r="F369" s="3">
        <f>IF(N(C369)=0,"n/a",E369/C369)</f>
        <v/>
      </c>
      <c r="G369" t="inlineStr"/>
    </row>
    <row r="370">
      <c r="A370" t="inlineStr">
        <is>
          <t>HIMS</t>
        </is>
      </c>
      <c r="B370" t="inlineStr">
        <is>
          <t>HIMS HERS HEALTH CLASS A</t>
        </is>
      </c>
      <c r="C370" s="2" t="n">
        <v>168050595.55</v>
      </c>
      <c r="D370" s="2" t="n">
        <v>166245805.89</v>
      </c>
      <c r="E370" s="2">
        <f>N(D370)-N(C370)</f>
        <v/>
      </c>
      <c r="F370" s="3">
        <f>IF(N(C370)=0,"n/a",E370/C370)</f>
        <v/>
      </c>
      <c r="G370" t="inlineStr"/>
    </row>
    <row r="371">
      <c r="A371" t="inlineStr">
        <is>
          <t>CELC</t>
        </is>
      </c>
      <c r="B371" t="inlineStr">
        <is>
          <t>CELCUITY</t>
        </is>
      </c>
      <c r="C371" s="2" t="n">
        <v>81033663.26000001</v>
      </c>
      <c r="D371" s="2" t="n">
        <v>79207486.40000001</v>
      </c>
      <c r="E371" s="2">
        <f>N(D371)-N(C371)</f>
        <v/>
      </c>
      <c r="F371" s="3">
        <f>IF(N(C371)=0,"n/a",E371/C371)</f>
        <v/>
      </c>
      <c r="G371" t="inlineStr"/>
    </row>
    <row r="372">
      <c r="A372" t="inlineStr">
        <is>
          <t>BTMD</t>
        </is>
      </c>
      <c r="B372" t="inlineStr">
        <is>
          <t>BIOTE CORP CLASS A</t>
        </is>
      </c>
      <c r="C372" s="2" t="n">
        <v>1851795.4</v>
      </c>
      <c r="D372" s="2" t="n"/>
      <c r="E372" s="2">
        <f>N(D372)-N(C372)</f>
        <v/>
      </c>
      <c r="F372" s="3">
        <f>IF(N(C372)=0,"n/a",E372/C372)</f>
        <v/>
      </c>
      <c r="G372" t="inlineStr">
        <is>
          <t>제외(1/1에만 존재)</t>
        </is>
      </c>
    </row>
    <row r="373">
      <c r="A373" t="inlineStr">
        <is>
          <t>ZYME</t>
        </is>
      </c>
      <c r="B373" t="inlineStr">
        <is>
          <t>ZYMEWORKS</t>
        </is>
      </c>
      <c r="C373" s="2" t="n">
        <v>33357213.7</v>
      </c>
      <c r="D373" s="2" t="n">
        <v>31415232.72</v>
      </c>
      <c r="E373" s="2">
        <f>N(D373)-N(C373)</f>
        <v/>
      </c>
      <c r="F373" s="3">
        <f>IF(N(C373)=0,"n/a",E373/C373)</f>
        <v/>
      </c>
      <c r="G373" t="inlineStr"/>
    </row>
    <row r="374">
      <c r="A374" t="inlineStr">
        <is>
          <t>IRON</t>
        </is>
      </c>
      <c r="B374" t="inlineStr">
        <is>
          <t>DISC MEDICINE</t>
        </is>
      </c>
      <c r="C374" s="2" t="n">
        <v>49968980.73</v>
      </c>
      <c r="D374" s="2" t="n">
        <v>47953966.74</v>
      </c>
      <c r="E374" s="2">
        <f>N(D374)-N(C374)</f>
        <v/>
      </c>
      <c r="F374" s="3">
        <f>IF(N(C374)=0,"n/a",E374/C374)</f>
        <v/>
      </c>
      <c r="G374" t="inlineStr"/>
    </row>
    <row r="375">
      <c r="A375" t="inlineStr">
        <is>
          <t>SNDX</t>
        </is>
      </c>
      <c r="B375" t="inlineStr">
        <is>
          <t>SYNDAX PHARMACEUTICALS</t>
        </is>
      </c>
      <c r="C375" s="2" t="n">
        <v>45187383.56</v>
      </c>
      <c r="D375" s="2" t="n">
        <v>43165458</v>
      </c>
      <c r="E375" s="2">
        <f>N(D375)-N(C375)</f>
        <v/>
      </c>
      <c r="F375" s="3">
        <f>IF(N(C375)=0,"n/a",E375/C375)</f>
        <v/>
      </c>
      <c r="G375" t="inlineStr"/>
    </row>
    <row r="376">
      <c r="A376" t="inlineStr">
        <is>
          <t>BIOA</t>
        </is>
      </c>
      <c r="B376" t="inlineStr">
        <is>
          <t>BIOAGE LABS</t>
        </is>
      </c>
      <c r="C376" s="2" t="n">
        <v>7975387.98</v>
      </c>
      <c r="D376" s="2" t="n">
        <v>5929827.85</v>
      </c>
      <c r="E376" s="2">
        <f>N(D376)-N(C376)</f>
        <v/>
      </c>
      <c r="F376" s="3">
        <f>IF(N(C376)=0,"n/a",E376/C376)</f>
        <v/>
      </c>
      <c r="G376" t="inlineStr"/>
    </row>
    <row r="377">
      <c r="A377" t="inlineStr">
        <is>
          <t>LUNG</t>
        </is>
      </c>
      <c r="B377" t="inlineStr">
        <is>
          <t>PULMONX CORP</t>
        </is>
      </c>
      <c r="C377" s="2" t="n">
        <v>2078080.68</v>
      </c>
      <c r="D377" s="2" t="n"/>
      <c r="E377" s="2">
        <f>N(D377)-N(C377)</f>
        <v/>
      </c>
      <c r="F377" s="3">
        <f>IF(N(C377)=0,"n/a",E377/C377)</f>
        <v/>
      </c>
      <c r="G377" t="inlineStr">
        <is>
          <t>제외(1/1에만 존재)</t>
        </is>
      </c>
    </row>
    <row r="378">
      <c r="A378" t="inlineStr">
        <is>
          <t>DCGO</t>
        </is>
      </c>
      <c r="B378" t="inlineStr">
        <is>
          <t>DOCGO INC</t>
        </is>
      </c>
      <c r="C378" s="2" t="n">
        <v>2082347.01</v>
      </c>
      <c r="D378" s="2" t="n"/>
      <c r="E378" s="2">
        <f>N(D378)-N(C378)</f>
        <v/>
      </c>
      <c r="F378" s="3">
        <f>IF(N(C378)=0,"n/a",E378/C378)</f>
        <v/>
      </c>
      <c r="G378" t="inlineStr">
        <is>
          <t>제외(1/1에만 존재)</t>
        </is>
      </c>
    </row>
    <row r="379">
      <c r="A379" t="inlineStr">
        <is>
          <t>ARAY</t>
        </is>
      </c>
      <c r="B379" t="inlineStr">
        <is>
          <t>ACCURAY INC</t>
        </is>
      </c>
      <c r="C379" s="2" t="n">
        <v>2122843.64</v>
      </c>
      <c r="D379" s="2" t="n"/>
      <c r="E379" s="2">
        <f>N(D379)-N(C379)</f>
        <v/>
      </c>
      <c r="F379" s="3">
        <f>IF(N(C379)=0,"n/a",E379/C379)</f>
        <v/>
      </c>
      <c r="G379" t="inlineStr">
        <is>
          <t>제외(1/1에만 존재)</t>
        </is>
      </c>
    </row>
    <row r="380">
      <c r="A380" t="inlineStr">
        <is>
          <t>CVRX</t>
        </is>
      </c>
      <c r="B380" t="inlineStr">
        <is>
          <t>CVRX INC</t>
        </is>
      </c>
      <c r="C380" s="2" t="n">
        <v>2855328.9</v>
      </c>
      <c r="D380" s="2" t="n">
        <v>653595.25</v>
      </c>
      <c r="E380" s="2">
        <f>N(D380)-N(C380)</f>
        <v/>
      </c>
      <c r="F380" s="3">
        <f>IF(N(C380)=0,"n/a",E380/C380)</f>
        <v/>
      </c>
      <c r="G380" t="inlineStr"/>
    </row>
    <row r="381">
      <c r="A381" t="inlineStr">
        <is>
          <t>DH</t>
        </is>
      </c>
      <c r="B381" t="inlineStr">
        <is>
          <t>DEFINITIVE HEALTHCARE CORP CLASS A</t>
        </is>
      </c>
      <c r="C381" s="2" t="n">
        <v>2355716.09</v>
      </c>
      <c r="D381" s="2" t="n"/>
      <c r="E381" s="2">
        <f>N(D381)-N(C381)</f>
        <v/>
      </c>
      <c r="F381" s="3">
        <f>IF(N(C381)=0,"n/a",E381/C381)</f>
        <v/>
      </c>
      <c r="G381" t="inlineStr">
        <is>
          <t>제외(1/1에만 존재)</t>
        </is>
      </c>
    </row>
    <row r="382">
      <c r="A382" t="inlineStr">
        <is>
          <t>SIGA</t>
        </is>
      </c>
      <c r="B382" t="inlineStr">
        <is>
          <t>SIGA TECHNOLOGIES INC</t>
        </is>
      </c>
      <c r="C382" s="2" t="n">
        <v>6315845.9</v>
      </c>
      <c r="D382" s="2" t="n">
        <v>3871124.4</v>
      </c>
      <c r="E382" s="2">
        <f>N(D382)-N(C382)</f>
        <v/>
      </c>
      <c r="F382" s="3">
        <f>IF(N(C382)=0,"n/a",E382/C382)</f>
        <v/>
      </c>
      <c r="G382" t="inlineStr"/>
    </row>
    <row r="383">
      <c r="A383" t="inlineStr">
        <is>
          <t>ARQT</t>
        </is>
      </c>
      <c r="B383" t="inlineStr">
        <is>
          <t>ARCUTIS BIOTHERAPEUTICS</t>
        </is>
      </c>
      <c r="C383" s="2" t="n">
        <v>80750482.56</v>
      </c>
      <c r="D383" s="2" t="n">
        <v>78212818.92</v>
      </c>
      <c r="E383" s="2">
        <f>N(D383)-N(C383)</f>
        <v/>
      </c>
      <c r="F383" s="3">
        <f>IF(N(C383)=0,"n/a",E383/C383)</f>
        <v/>
      </c>
      <c r="G383" t="inlineStr"/>
    </row>
    <row r="384">
      <c r="A384" t="inlineStr">
        <is>
          <t>TRDA</t>
        </is>
      </c>
      <c r="B384" t="inlineStr">
        <is>
          <t>ENTRADA THERAPEUTICS</t>
        </is>
      </c>
      <c r="C384" s="2" t="n">
        <v>7457245.64</v>
      </c>
      <c r="D384" s="2" t="n">
        <v>4901692</v>
      </c>
      <c r="E384" s="2">
        <f>N(D384)-N(C384)</f>
        <v/>
      </c>
      <c r="F384" s="3">
        <f>IF(N(C384)=0,"n/a",E384/C384)</f>
        <v/>
      </c>
      <c r="G384" t="inlineStr"/>
    </row>
    <row r="385">
      <c r="A385" t="inlineStr">
        <is>
          <t>DERM</t>
        </is>
      </c>
      <c r="B385" t="inlineStr">
        <is>
          <t>JOURNEY MEDICAL CORP</t>
        </is>
      </c>
      <c r="C385" s="2" t="n">
        <v>2582572.44</v>
      </c>
      <c r="D385" s="2" t="n"/>
      <c r="E385" s="2">
        <f>N(D385)-N(C385)</f>
        <v/>
      </c>
      <c r="F385" s="3">
        <f>IF(N(C385)=0,"n/a",E385/C385)</f>
        <v/>
      </c>
      <c r="G385" t="inlineStr">
        <is>
          <t>제외(1/1에만 존재)</t>
        </is>
      </c>
    </row>
    <row r="386">
      <c r="A386" t="inlineStr">
        <is>
          <t>FATE</t>
        </is>
      </c>
      <c r="B386" t="inlineStr">
        <is>
          <t>FATE THERAPEUTICS INC</t>
        </is>
      </c>
      <c r="C386" s="2" t="n">
        <v>2701715.69</v>
      </c>
      <c r="D386" s="2" t="n"/>
      <c r="E386" s="2">
        <f>N(D386)-N(C386)</f>
        <v/>
      </c>
      <c r="F386" s="3">
        <f>IF(N(C386)=0,"n/a",E386/C386)</f>
        <v/>
      </c>
      <c r="G386" t="inlineStr">
        <is>
          <t>제외(1/1에만 존재)</t>
        </is>
      </c>
    </row>
    <row r="387">
      <c r="A387" t="inlineStr">
        <is>
          <t>AVXL</t>
        </is>
      </c>
      <c r="B387" t="inlineStr">
        <is>
          <t>ANAVEX LIFE SCIENCES CORP</t>
        </is>
      </c>
      <c r="C387" s="2" t="n">
        <v>7625616.12</v>
      </c>
      <c r="D387" s="2" t="n">
        <v>4909096.92</v>
      </c>
      <c r="E387" s="2">
        <f>N(D387)-N(C387)</f>
        <v/>
      </c>
      <c r="F387" s="3">
        <f>IF(N(C387)=0,"n/a",E387/C387)</f>
        <v/>
      </c>
      <c r="G387" t="inlineStr"/>
    </row>
    <row r="388">
      <c r="A388" t="inlineStr">
        <is>
          <t>LNSR</t>
        </is>
      </c>
      <c r="B388" t="inlineStr">
        <is>
          <t>LENSAR INC</t>
        </is>
      </c>
      <c r="C388" s="2" t="n">
        <v>2762694.87</v>
      </c>
      <c r="D388" s="2" t="n"/>
      <c r="E388" s="2">
        <f>N(D388)-N(C388)</f>
        <v/>
      </c>
      <c r="F388" s="3">
        <f>IF(N(C388)=0,"n/a",E388/C388)</f>
        <v/>
      </c>
      <c r="G388" t="inlineStr">
        <is>
          <t>제외(1/1에만 존재)</t>
        </is>
      </c>
    </row>
    <row r="389">
      <c r="A389" t="inlineStr">
        <is>
          <t>KRMD</t>
        </is>
      </c>
      <c r="B389" t="inlineStr">
        <is>
          <t>KORU MEDICAL SYSTEMS INC</t>
        </is>
      </c>
      <c r="C389" s="2" t="n">
        <v>6164450.67</v>
      </c>
      <c r="D389" s="2" t="n">
        <v>3358705.88</v>
      </c>
      <c r="E389" s="2">
        <f>N(D389)-N(C389)</f>
        <v/>
      </c>
      <c r="F389" s="3">
        <f>IF(N(C389)=0,"n/a",E389/C389)</f>
        <v/>
      </c>
      <c r="G389" t="inlineStr"/>
    </row>
    <row r="390">
      <c r="A390" t="inlineStr">
        <is>
          <t>CTEV</t>
        </is>
      </c>
      <c r="B390" t="inlineStr">
        <is>
          <t>CLARITEV CORP CLASS A</t>
        </is>
      </c>
      <c r="C390" s="2" t="n">
        <v>8437824</v>
      </c>
      <c r="D390" s="2" t="n">
        <v>5626033.35</v>
      </c>
      <c r="E390" s="2">
        <f>N(D390)-N(C390)</f>
        <v/>
      </c>
      <c r="F390" s="3">
        <f>IF(N(C390)=0,"n/a",E390/C390)</f>
        <v/>
      </c>
      <c r="G390" t="inlineStr"/>
    </row>
    <row r="391">
      <c r="A391" t="inlineStr">
        <is>
          <t>QTRX</t>
        </is>
      </c>
      <c r="B391" t="inlineStr">
        <is>
          <t>QUANTERIX</t>
        </is>
      </c>
      <c r="C391" s="2" t="n">
        <v>7074673.2</v>
      </c>
      <c r="D391" s="2" t="n">
        <v>4191276.04</v>
      </c>
      <c r="E391" s="2">
        <f>N(D391)-N(C391)</f>
        <v/>
      </c>
      <c r="F391" s="3">
        <f>IF(N(C391)=0,"n/a",E391/C391)</f>
        <v/>
      </c>
      <c r="G391" t="inlineStr"/>
    </row>
    <row r="392">
      <c r="A392" t="inlineStr">
        <is>
          <t>AMPH</t>
        </is>
      </c>
      <c r="B392" t="inlineStr">
        <is>
          <t>AMPHASTAR PHARMACEUTICALS</t>
        </is>
      </c>
      <c r="C392" s="2" t="n">
        <v>24558813.24</v>
      </c>
      <c r="D392" s="2" t="n">
        <v>21664036.46</v>
      </c>
      <c r="E392" s="2">
        <f>N(D392)-N(C392)</f>
        <v/>
      </c>
      <c r="F392" s="3">
        <f>IF(N(C392)=0,"n/a",E392/C392)</f>
        <v/>
      </c>
      <c r="G392" t="inlineStr"/>
    </row>
    <row r="393">
      <c r="A393" t="inlineStr">
        <is>
          <t>MLYS</t>
        </is>
      </c>
      <c r="B393" t="inlineStr">
        <is>
          <t>MINERALYS THERAPEUTICS</t>
        </is>
      </c>
      <c r="C393" s="2" t="n">
        <v>42735757.22</v>
      </c>
      <c r="D393" s="2" t="n">
        <v>39818309.09</v>
      </c>
      <c r="E393" s="2">
        <f>N(D393)-N(C393)</f>
        <v/>
      </c>
      <c r="F393" s="3">
        <f>IF(N(C393)=0,"n/a",E393/C393)</f>
        <v/>
      </c>
      <c r="G393" t="inlineStr"/>
    </row>
    <row r="394">
      <c r="A394" t="inlineStr">
        <is>
          <t>JYNT</t>
        </is>
      </c>
      <c r="B394" t="inlineStr">
        <is>
          <t>JOINT CORP</t>
        </is>
      </c>
      <c r="C394" s="2" t="n">
        <v>2959881.92</v>
      </c>
      <c r="D394" s="2" t="n"/>
      <c r="E394" s="2">
        <f>N(D394)-N(C394)</f>
        <v/>
      </c>
      <c r="F394" s="3">
        <f>IF(N(C394)=0,"n/a",E394/C394)</f>
        <v/>
      </c>
      <c r="G394" t="inlineStr">
        <is>
          <t>제외(1/1에만 존재)</t>
        </is>
      </c>
    </row>
    <row r="395">
      <c r="A395" t="inlineStr">
        <is>
          <t>TCMD</t>
        </is>
      </c>
      <c r="B395" t="inlineStr">
        <is>
          <t>TACTILE SYSTEMS TECHNOLOGY</t>
        </is>
      </c>
      <c r="C395" s="2" t="n">
        <v>16371167</v>
      </c>
      <c r="D395" s="2" t="n">
        <v>13406877.75</v>
      </c>
      <c r="E395" s="2">
        <f>N(D395)-N(C395)</f>
        <v/>
      </c>
      <c r="F395" s="3">
        <f>IF(N(C395)=0,"n/a",E395/C395)</f>
        <v/>
      </c>
      <c r="G395" t="inlineStr"/>
    </row>
    <row r="396">
      <c r="A396" t="inlineStr">
        <is>
          <t>TMCI</t>
        </is>
      </c>
      <c r="B396" t="inlineStr">
        <is>
          <t>TREACE MEDICAL CONCEPTS INC</t>
        </is>
      </c>
      <c r="C396" s="2" t="n">
        <v>2999037.65</v>
      </c>
      <c r="D396" s="2" t="n"/>
      <c r="E396" s="2">
        <f>N(D396)-N(C396)</f>
        <v/>
      </c>
      <c r="F396" s="3">
        <f>IF(N(C396)=0,"n/a",E396/C396)</f>
        <v/>
      </c>
      <c r="G396" t="inlineStr">
        <is>
          <t>제외(1/1에만 존재)</t>
        </is>
      </c>
    </row>
    <row r="397">
      <c r="A397" t="inlineStr">
        <is>
          <t>JBIO</t>
        </is>
      </c>
      <c r="B397" t="inlineStr">
        <is>
          <t>JADE BIOSCIENCES</t>
        </is>
      </c>
      <c r="C397" s="2" t="n">
        <v>17670019.39</v>
      </c>
      <c r="D397" s="2" t="n">
        <v>14508620.1</v>
      </c>
      <c r="E397" s="2">
        <f>N(D397)-N(C397)</f>
        <v/>
      </c>
      <c r="F397" s="3">
        <f>IF(N(C397)=0,"n/a",E397/C397)</f>
        <v/>
      </c>
      <c r="G397" t="inlineStr"/>
    </row>
    <row r="398">
      <c r="A398" t="inlineStr">
        <is>
          <t>PCRX</t>
        </is>
      </c>
      <c r="B398" t="inlineStr">
        <is>
          <t>PACIRA BIOSCIENCES</t>
        </is>
      </c>
      <c r="C398" s="2" t="n">
        <v>29143105.68</v>
      </c>
      <c r="D398" s="2" t="n">
        <v>25647868.35</v>
      </c>
      <c r="E398" s="2">
        <f>N(D398)-N(C398)</f>
        <v/>
      </c>
      <c r="F398" s="3">
        <f>IF(N(C398)=0,"n/a",E398/C398)</f>
        <v/>
      </c>
      <c r="G398" t="inlineStr"/>
    </row>
    <row r="399">
      <c r="A399" t="inlineStr">
        <is>
          <t>FLGT</t>
        </is>
      </c>
      <c r="B399" t="inlineStr">
        <is>
          <t>FULGENT GENETICS</t>
        </is>
      </c>
      <c r="C399" s="2" t="n">
        <v>13715356.84</v>
      </c>
      <c r="D399" s="2" t="n">
        <v>10213910.94</v>
      </c>
      <c r="E399" s="2">
        <f>N(D399)-N(C399)</f>
        <v/>
      </c>
      <c r="F399" s="3">
        <f>IF(N(C399)=0,"n/a",E399/C399)</f>
        <v/>
      </c>
      <c r="G399" t="inlineStr"/>
    </row>
    <row r="400">
      <c r="A400" t="inlineStr">
        <is>
          <t>HUMA</t>
        </is>
      </c>
      <c r="B400" t="inlineStr">
        <is>
          <t>HUMACYTE INC</t>
        </is>
      </c>
      <c r="C400" s="2" t="n">
        <v>3589739.08</v>
      </c>
      <c r="D400" s="2" t="n"/>
      <c r="E400" s="2">
        <f>N(D400)-N(C400)</f>
        <v/>
      </c>
      <c r="F400" s="3">
        <f>IF(N(C400)=0,"n/a",E400/C400)</f>
        <v/>
      </c>
      <c r="G400" t="inlineStr">
        <is>
          <t>제외(1/1에만 존재)</t>
        </is>
      </c>
    </row>
    <row r="401">
      <c r="A401" t="inlineStr">
        <is>
          <t>MPLT</t>
        </is>
      </c>
      <c r="B401" t="inlineStr">
        <is>
          <t>MAPLIGHT THERAPEUTICS</t>
        </is>
      </c>
      <c r="C401" s="2" t="n">
        <v>7053401.4</v>
      </c>
      <c r="D401" s="2" t="n">
        <v>3290717.84</v>
      </c>
      <c r="E401" s="2">
        <f>N(D401)-N(C401)</f>
        <v/>
      </c>
      <c r="F401" s="3">
        <f>IF(N(C401)=0,"n/a",E401/C401)</f>
        <v/>
      </c>
      <c r="G401" t="inlineStr"/>
    </row>
    <row r="402">
      <c r="A402" t="inlineStr">
        <is>
          <t>HQY</t>
        </is>
      </c>
      <c r="B402" t="inlineStr">
        <is>
          <t>HEALTHEQUITY</t>
        </is>
      </c>
      <c r="C402" s="2" t="n">
        <v>197656270.24</v>
      </c>
      <c r="D402" s="2" t="n">
        <v>193873359</v>
      </c>
      <c r="E402" s="2">
        <f>N(D402)-N(C402)</f>
        <v/>
      </c>
      <c r="F402" s="3">
        <f>IF(N(C402)=0,"n/a",E402/C402)</f>
        <v/>
      </c>
      <c r="G402" t="inlineStr"/>
    </row>
    <row r="403">
      <c r="A403" t="inlineStr">
        <is>
          <t>AQST</t>
        </is>
      </c>
      <c r="B403" t="inlineStr">
        <is>
          <t>AQUESTIVE THERAPEUTICS</t>
        </is>
      </c>
      <c r="C403" s="2" t="n">
        <v>16900354.84</v>
      </c>
      <c r="D403" s="2" t="n">
        <v>13115989.01</v>
      </c>
      <c r="E403" s="2">
        <f>N(D403)-N(C403)</f>
        <v/>
      </c>
      <c r="F403" s="3">
        <f>IF(N(C403)=0,"n/a",E403/C403)</f>
        <v/>
      </c>
      <c r="G403" t="inlineStr"/>
    </row>
    <row r="404">
      <c r="A404" t="inlineStr">
        <is>
          <t>MYGN</t>
        </is>
      </c>
      <c r="B404" t="inlineStr">
        <is>
          <t>MYRIAD GENETICS</t>
        </is>
      </c>
      <c r="C404" s="2" t="n">
        <v>14036926.05</v>
      </c>
      <c r="D404" s="2" t="n">
        <v>10180207.07</v>
      </c>
      <c r="E404" s="2">
        <f>N(D404)-N(C404)</f>
        <v/>
      </c>
      <c r="F404" s="3">
        <f>IF(N(C404)=0,"n/a",E404/C404)</f>
        <v/>
      </c>
      <c r="G404" t="inlineStr"/>
    </row>
    <row r="405">
      <c r="A405" t="inlineStr">
        <is>
          <t>SANA</t>
        </is>
      </c>
      <c r="B405" t="inlineStr">
        <is>
          <t>SANA BIOTECHNOLOGY</t>
        </is>
      </c>
      <c r="C405" s="2" t="n">
        <v>16959738.84</v>
      </c>
      <c r="D405" s="2" t="n">
        <v>13040756.79</v>
      </c>
      <c r="E405" s="2">
        <f>N(D405)-N(C405)</f>
        <v/>
      </c>
      <c r="F405" s="3">
        <f>IF(N(C405)=0,"n/a",E405/C405)</f>
        <v/>
      </c>
      <c r="G405" t="inlineStr"/>
    </row>
    <row r="406">
      <c r="A406" t="inlineStr">
        <is>
          <t>AARD</t>
        </is>
      </c>
      <c r="B406" t="inlineStr">
        <is>
          <t>AARDVARK THERAPEUTICS INC</t>
        </is>
      </c>
      <c r="C406" s="2" t="n">
        <v>3924060</v>
      </c>
      <c r="D406" s="2" t="n"/>
      <c r="E406" s="2">
        <f>N(D406)-N(C406)</f>
        <v/>
      </c>
      <c r="F406" s="3">
        <f>IF(N(C406)=0,"n/a",E406/C406)</f>
        <v/>
      </c>
      <c r="G406" t="inlineStr">
        <is>
          <t>제외(1/1에만 존재)</t>
        </is>
      </c>
    </row>
    <row r="407">
      <c r="A407" t="inlineStr">
        <is>
          <t>HRTX</t>
        </is>
      </c>
      <c r="B407" t="inlineStr">
        <is>
          <t>HERON THERAPEUTICS INC</t>
        </is>
      </c>
      <c r="C407" s="2" t="n">
        <v>5185373.7</v>
      </c>
      <c r="D407" s="2" t="n">
        <v>1160976.09</v>
      </c>
      <c r="E407" s="2">
        <f>N(D407)-N(C407)</f>
        <v/>
      </c>
      <c r="F407" s="3">
        <f>IF(N(C407)=0,"n/a",E407/C407)</f>
        <v/>
      </c>
      <c r="G407" t="inlineStr"/>
    </row>
    <row r="408">
      <c r="A408" t="inlineStr">
        <is>
          <t>MXCT</t>
        </is>
      </c>
      <c r="B408" t="inlineStr">
        <is>
          <t>MAXCYTE INC</t>
        </is>
      </c>
      <c r="C408" s="2" t="n">
        <v>4044574.65</v>
      </c>
      <c r="D408" s="2" t="n"/>
      <c r="E408" s="2">
        <f>N(D408)-N(C408)</f>
        <v/>
      </c>
      <c r="F408" s="3">
        <f>IF(N(C408)=0,"n/a",E408/C408)</f>
        <v/>
      </c>
      <c r="G408" t="inlineStr">
        <is>
          <t>제외(1/1에만 존재)</t>
        </is>
      </c>
    </row>
    <row r="409">
      <c r="A409" t="inlineStr">
        <is>
          <t>AKBA</t>
        </is>
      </c>
      <c r="B409" t="inlineStr">
        <is>
          <t>AKEBIA THERAPEUTICS INC</t>
        </is>
      </c>
      <c r="C409" s="2" t="n">
        <v>10344391.68</v>
      </c>
      <c r="D409" s="2" t="n">
        <v>6280899.8</v>
      </c>
      <c r="E409" s="2">
        <f>N(D409)-N(C409)</f>
        <v/>
      </c>
      <c r="F409" s="3">
        <f>IF(N(C409)=0,"n/a",E409/C409)</f>
        <v/>
      </c>
      <c r="G409" t="inlineStr"/>
    </row>
    <row r="410">
      <c r="A410" t="inlineStr">
        <is>
          <t>BEAM</t>
        </is>
      </c>
      <c r="B410" t="inlineStr">
        <is>
          <t>BEAM THERAPEUTICS</t>
        </is>
      </c>
      <c r="C410" s="2" t="n">
        <v>66928138.2</v>
      </c>
      <c r="D410" s="2" t="n">
        <v>62818798.2</v>
      </c>
      <c r="E410" s="2">
        <f>N(D410)-N(C410)</f>
        <v/>
      </c>
      <c r="F410" s="3">
        <f>IF(N(C410)=0,"n/a",E410/C410)</f>
        <v/>
      </c>
      <c r="G410" t="inlineStr"/>
    </row>
    <row r="411">
      <c r="A411" t="inlineStr">
        <is>
          <t>HCAT</t>
        </is>
      </c>
      <c r="B411" t="inlineStr">
        <is>
          <t>HEALTH CATALYST INC</t>
        </is>
      </c>
      <c r="C411" s="2" t="n">
        <v>4151752.65</v>
      </c>
      <c r="D411" s="2" t="n"/>
      <c r="E411" s="2">
        <f>N(D411)-N(C411)</f>
        <v/>
      </c>
      <c r="F411" s="3">
        <f>IF(N(C411)=0,"n/a",E411/C411)</f>
        <v/>
      </c>
      <c r="G411" t="inlineStr">
        <is>
          <t>제외(1/1에만 존재)</t>
        </is>
      </c>
    </row>
    <row r="412">
      <c r="A412" t="inlineStr">
        <is>
          <t>RXST</t>
        </is>
      </c>
      <c r="B412" t="inlineStr">
        <is>
          <t>RXSIGHT</t>
        </is>
      </c>
      <c r="C412" s="2" t="n">
        <v>9244905.34</v>
      </c>
      <c r="D412" s="2" t="n">
        <v>5064664.5</v>
      </c>
      <c r="E412" s="2">
        <f>N(D412)-N(C412)</f>
        <v/>
      </c>
      <c r="F412" s="3">
        <f>IF(N(C412)=0,"n/a",E412/C412)</f>
        <v/>
      </c>
      <c r="G412" t="inlineStr"/>
    </row>
    <row r="413">
      <c r="A413" t="inlineStr">
        <is>
          <t>ADCT</t>
        </is>
      </c>
      <c r="B413" t="inlineStr">
        <is>
          <t>ADC THERAPEUTICS SA</t>
        </is>
      </c>
      <c r="C413" s="2" t="n">
        <v>7560938.77</v>
      </c>
      <c r="D413" s="2" t="n">
        <v>3356148.02</v>
      </c>
      <c r="E413" s="2">
        <f>N(D413)-N(C413)</f>
        <v/>
      </c>
      <c r="F413" s="3">
        <f>IF(N(C413)=0,"n/a",E413/C413)</f>
        <v/>
      </c>
      <c r="G413" t="inlineStr"/>
    </row>
    <row r="414">
      <c r="A414" t="inlineStr">
        <is>
          <t>LENZ</t>
        </is>
      </c>
      <c r="B414" t="inlineStr">
        <is>
          <t>LENZ THERAPEUTICS</t>
        </is>
      </c>
      <c r="C414" s="2" t="n">
        <v>6374528</v>
      </c>
      <c r="D414" s="2" t="n">
        <v>2078499.84</v>
      </c>
      <c r="E414" s="2">
        <f>N(D414)-N(C414)</f>
        <v/>
      </c>
      <c r="F414" s="3">
        <f>IF(N(C414)=0,"n/a",E414/C414)</f>
        <v/>
      </c>
      <c r="G414" t="inlineStr"/>
    </row>
    <row r="415">
      <c r="A415" t="inlineStr">
        <is>
          <t>TDOC</t>
        </is>
      </c>
      <c r="B415" t="inlineStr">
        <is>
          <t>TELADOC HEALTH INC</t>
        </is>
      </c>
      <c r="C415" s="2" t="n">
        <v>31665256</v>
      </c>
      <c r="D415" s="2" t="n">
        <v>27319142.6</v>
      </c>
      <c r="E415" s="2">
        <f>N(D415)-N(C415)</f>
        <v/>
      </c>
      <c r="F415" s="3">
        <f>IF(N(C415)=0,"n/a",E415/C415)</f>
        <v/>
      </c>
      <c r="G415" t="inlineStr"/>
    </row>
    <row r="416">
      <c r="A416" t="inlineStr">
        <is>
          <t>QSI</t>
        </is>
      </c>
      <c r="B416" t="inlineStr">
        <is>
          <t>QUANTUM SI INC CLASS A</t>
        </is>
      </c>
      <c r="C416" s="2" t="n">
        <v>4435396.9</v>
      </c>
      <c r="D416" s="2" t="n"/>
      <c r="E416" s="2">
        <f>N(D416)-N(C416)</f>
        <v/>
      </c>
      <c r="F416" s="3">
        <f>IF(N(C416)=0,"n/a",E416/C416)</f>
        <v/>
      </c>
      <c r="G416" t="inlineStr">
        <is>
          <t>제외(1/1에만 존재)</t>
        </is>
      </c>
    </row>
    <row r="417">
      <c r="A417" t="inlineStr">
        <is>
          <t>CRDF</t>
        </is>
      </c>
      <c r="B417" t="inlineStr">
        <is>
          <t>CARDIFF ONCOLOGY INC</t>
        </is>
      </c>
      <c r="C417" s="2" t="n">
        <v>4449165.73</v>
      </c>
      <c r="D417" s="2" t="n"/>
      <c r="E417" s="2">
        <f>N(D417)-N(C417)</f>
        <v/>
      </c>
      <c r="F417" s="3">
        <f>IF(N(C417)=0,"n/a",E417/C417)</f>
        <v/>
      </c>
      <c r="G417" t="inlineStr">
        <is>
          <t>제외(1/1에만 존재)</t>
        </is>
      </c>
    </row>
    <row r="418">
      <c r="A418" t="inlineStr">
        <is>
          <t>NNOX</t>
        </is>
      </c>
      <c r="B418" t="inlineStr">
        <is>
          <t>NANO X IMAGING LTD</t>
        </is>
      </c>
      <c r="C418" s="2" t="n">
        <v>4549308.4</v>
      </c>
      <c r="D418" s="2" t="n"/>
      <c r="E418" s="2">
        <f>N(D418)-N(C418)</f>
        <v/>
      </c>
      <c r="F418" s="3">
        <f>IF(N(C418)=0,"n/a",E418/C418)</f>
        <v/>
      </c>
      <c r="G418" t="inlineStr">
        <is>
          <t>제외(1/1에만 존재)</t>
        </is>
      </c>
    </row>
    <row r="419">
      <c r="A419" t="inlineStr">
        <is>
          <t>OFIX</t>
        </is>
      </c>
      <c r="B419" t="inlineStr">
        <is>
          <t>ORTHOFIX MEDICAL</t>
        </is>
      </c>
      <c r="C419" s="2" t="n">
        <v>14753909.08</v>
      </c>
      <c r="D419" s="2" t="n">
        <v>9747085.02</v>
      </c>
      <c r="E419" s="2">
        <f>N(D419)-N(C419)</f>
        <v/>
      </c>
      <c r="F419" s="3">
        <f>IF(N(C419)=0,"n/a",E419/C419)</f>
        <v/>
      </c>
      <c r="G419" t="inlineStr"/>
    </row>
    <row r="420">
      <c r="A420" t="inlineStr">
        <is>
          <t>OPRX</t>
        </is>
      </c>
      <c r="B420" t="inlineStr">
        <is>
          <t>OPTIMIZERX CORP</t>
        </is>
      </c>
      <c r="C420" s="2" t="n">
        <v>5013935.42</v>
      </c>
      <c r="D420" s="2" t="n"/>
      <c r="E420" s="2">
        <f>N(D420)-N(C420)</f>
        <v/>
      </c>
      <c r="F420" s="3">
        <f>IF(N(C420)=0,"n/a",E420/C420)</f>
        <v/>
      </c>
      <c r="G420" t="inlineStr">
        <is>
          <t>제외(1/1에만 존재)</t>
        </is>
      </c>
    </row>
    <row r="421">
      <c r="A421" t="inlineStr">
        <is>
          <t>SMLR</t>
        </is>
      </c>
      <c r="B421" t="inlineStr">
        <is>
          <t>SEMLER SCIENTIFIC INC</t>
        </is>
      </c>
      <c r="C421" s="2" t="n">
        <v>5043024.25</v>
      </c>
      <c r="D421" s="2" t="n"/>
      <c r="E421" s="2">
        <f>N(D421)-N(C421)</f>
        <v/>
      </c>
      <c r="F421" s="3">
        <f>IF(N(C421)=0,"n/a",E421/C421)</f>
        <v/>
      </c>
      <c r="G421" t="inlineStr">
        <is>
          <t>제외(1/1에만 존재)</t>
        </is>
      </c>
    </row>
    <row r="422">
      <c r="A422" t="inlineStr">
        <is>
          <t>OMI</t>
        </is>
      </c>
      <c r="B422" t="inlineStr">
        <is>
          <t>OWENS &amp; MINOR INC</t>
        </is>
      </c>
      <c r="C422" s="2" t="n">
        <v>5383254.8</v>
      </c>
      <c r="D422" s="2" t="n"/>
      <c r="E422" s="2">
        <f>N(D422)-N(C422)</f>
        <v/>
      </c>
      <c r="F422" s="3">
        <f>IF(N(C422)=0,"n/a",E422/C422)</f>
        <v/>
      </c>
      <c r="G422" t="inlineStr">
        <is>
          <t>제외(1/1에만 존재)</t>
        </is>
      </c>
    </row>
    <row r="423">
      <c r="A423" t="inlineStr">
        <is>
          <t>SNWV</t>
        </is>
      </c>
      <c r="B423" t="inlineStr">
        <is>
          <t>SANUWAVE HEALTH INC</t>
        </is>
      </c>
      <c r="C423" s="2" t="n">
        <v>5469731.68</v>
      </c>
      <c r="D423" s="2" t="n"/>
      <c r="E423" s="2">
        <f>N(D423)-N(C423)</f>
        <v/>
      </c>
      <c r="F423" s="3">
        <f>IF(N(C423)=0,"n/a",E423/C423)</f>
        <v/>
      </c>
      <c r="G423" t="inlineStr">
        <is>
          <t>제외(1/1에만 존재)</t>
        </is>
      </c>
    </row>
    <row r="424">
      <c r="A424" t="inlineStr">
        <is>
          <t>SUPN</t>
        </is>
      </c>
      <c r="B424" t="inlineStr">
        <is>
          <t>SUPERNUS PHARMACEUTICALS</t>
        </is>
      </c>
      <c r="C424" s="2" t="n">
        <v>67691151.5</v>
      </c>
      <c r="D424" s="2" t="n">
        <v>62219700</v>
      </c>
      <c r="E424" s="2">
        <f>N(D424)-N(C424)</f>
        <v/>
      </c>
      <c r="F424" s="3">
        <f>IF(N(C424)=0,"n/a",E424/C424)</f>
        <v/>
      </c>
      <c r="G424" t="inlineStr"/>
    </row>
    <row r="425">
      <c r="A425" t="inlineStr">
        <is>
          <t>VNDA</t>
        </is>
      </c>
      <c r="B425" t="inlineStr">
        <is>
          <t>VANDA PHARMACEUTICALS INC</t>
        </is>
      </c>
      <c r="C425" s="2" t="n">
        <v>12439754.46</v>
      </c>
      <c r="D425" s="2" t="n">
        <v>6927568.1</v>
      </c>
      <c r="E425" s="2">
        <f>N(D425)-N(C425)</f>
        <v/>
      </c>
      <c r="F425" s="3">
        <f>IF(N(C425)=0,"n/a",E425/C425)</f>
        <v/>
      </c>
      <c r="G425" t="inlineStr"/>
    </row>
    <row r="426">
      <c r="A426" t="inlineStr">
        <is>
          <t>TBRG</t>
        </is>
      </c>
      <c r="B426" t="inlineStr">
        <is>
          <t>TRUBRIDGE INC</t>
        </is>
      </c>
      <c r="C426" s="2" t="n">
        <v>5595782.29</v>
      </c>
      <c r="D426" s="2" t="n"/>
      <c r="E426" s="2">
        <f>N(D426)-N(C426)</f>
        <v/>
      </c>
      <c r="F426" s="3">
        <f>IF(N(C426)=0,"n/a",E426/C426)</f>
        <v/>
      </c>
      <c r="G426" t="inlineStr">
        <is>
          <t>제외(1/1에만 존재)</t>
        </is>
      </c>
    </row>
    <row r="427">
      <c r="A427" t="inlineStr">
        <is>
          <t>RGNX</t>
        </is>
      </c>
      <c r="B427" t="inlineStr">
        <is>
          <t>REGENXBIO</t>
        </is>
      </c>
      <c r="C427" s="2" t="n">
        <v>17170257.6</v>
      </c>
      <c r="D427" s="2" t="n">
        <v>11494695.6</v>
      </c>
      <c r="E427" s="2">
        <f>N(D427)-N(C427)</f>
        <v/>
      </c>
      <c r="F427" s="3">
        <f>IF(N(C427)=0,"n/a",E427/C427)</f>
        <v/>
      </c>
      <c r="G427" t="inlineStr"/>
    </row>
    <row r="428">
      <c r="A428" t="inlineStr">
        <is>
          <t>MDXG</t>
        </is>
      </c>
      <c r="B428" t="inlineStr">
        <is>
          <t>MIMEDX GROUP</t>
        </is>
      </c>
      <c r="C428" s="2" t="n">
        <v>20226234.79</v>
      </c>
      <c r="D428" s="2" t="n">
        <v>14435202.78</v>
      </c>
      <c r="E428" s="2">
        <f>N(D428)-N(C428)</f>
        <v/>
      </c>
      <c r="F428" s="3">
        <f>IF(N(C428)=0,"n/a",E428/C428)</f>
        <v/>
      </c>
      <c r="G428" t="inlineStr"/>
    </row>
    <row r="429">
      <c r="A429" t="inlineStr">
        <is>
          <t>TOI</t>
        </is>
      </c>
      <c r="B429" t="inlineStr">
        <is>
          <t>ONCOLOGY INSTITUTE INC</t>
        </is>
      </c>
      <c r="C429" s="2" t="n">
        <v>6020540.28</v>
      </c>
      <c r="D429" s="2" t="n"/>
      <c r="E429" s="2">
        <f>N(D429)-N(C429)</f>
        <v/>
      </c>
      <c r="F429" s="3">
        <f>IF(N(C429)=0,"n/a",E429/C429)</f>
        <v/>
      </c>
      <c r="G429" t="inlineStr">
        <is>
          <t>제외(1/1에만 존재)</t>
        </is>
      </c>
    </row>
    <row r="430">
      <c r="A430" t="inlineStr">
        <is>
          <t>FULC</t>
        </is>
      </c>
      <c r="B430" t="inlineStr">
        <is>
          <t>FULCRUM THERAPEUTICS</t>
        </is>
      </c>
      <c r="C430" s="2" t="n">
        <v>12495661.23</v>
      </c>
      <c r="D430" s="2" t="n">
        <v>6471329.6</v>
      </c>
      <c r="E430" s="2">
        <f>N(D430)-N(C430)</f>
        <v/>
      </c>
      <c r="F430" s="3">
        <f>IF(N(C430)=0,"n/a",E430/C430)</f>
        <v/>
      </c>
      <c r="G430" t="inlineStr"/>
    </row>
    <row r="431">
      <c r="A431" t="inlineStr">
        <is>
          <t>XOMA</t>
        </is>
      </c>
      <c r="B431" t="inlineStr">
        <is>
          <t>XOMA ROYALTY CORP</t>
        </is>
      </c>
      <c r="C431" s="2" t="n">
        <v>6212035.57</v>
      </c>
      <c r="D431" s="2" t="n"/>
      <c r="E431" s="2">
        <f>N(D431)-N(C431)</f>
        <v/>
      </c>
      <c r="F431" s="3">
        <f>IF(N(C431)=0,"n/a",E431/C431)</f>
        <v/>
      </c>
      <c r="G431" t="inlineStr">
        <is>
          <t>제외(1/1에만 존재)</t>
        </is>
      </c>
    </row>
    <row r="432">
      <c r="A432" t="inlineStr">
        <is>
          <t>CCRN</t>
        </is>
      </c>
      <c r="B432" t="inlineStr">
        <is>
          <t>CROSS COUNTRY HEALTHCARE INC</t>
        </is>
      </c>
      <c r="C432" s="2" t="n">
        <v>6246136.8</v>
      </c>
      <c r="D432" s="2" t="n"/>
      <c r="E432" s="2">
        <f>N(D432)-N(C432)</f>
        <v/>
      </c>
      <c r="F432" s="3">
        <f>IF(N(C432)=0,"n/a",E432/C432)</f>
        <v/>
      </c>
      <c r="G432" t="inlineStr">
        <is>
          <t>제외(1/1에만 존재)</t>
        </is>
      </c>
    </row>
    <row r="433">
      <c r="A433" t="inlineStr">
        <is>
          <t>ORGO</t>
        </is>
      </c>
      <c r="B433" t="inlineStr">
        <is>
          <t>ORGANOGENESIS HOLDINGS CLASS A</t>
        </is>
      </c>
      <c r="C433" s="2" t="n">
        <v>9068885</v>
      </c>
      <c r="D433" s="2" t="n">
        <v>2484370.33</v>
      </c>
      <c r="E433" s="2">
        <f>N(D433)-N(C433)</f>
        <v/>
      </c>
      <c r="F433" s="3">
        <f>IF(N(C433)=0,"n/a",E433/C433)</f>
        <v/>
      </c>
      <c r="G433" t="inlineStr"/>
    </row>
    <row r="434">
      <c r="A434" t="inlineStr">
        <is>
          <t>CRMD</t>
        </is>
      </c>
      <c r="B434" t="inlineStr">
        <is>
          <t>CORMEDIX</t>
        </is>
      </c>
      <c r="C434" s="2" t="n">
        <v>21749146.7</v>
      </c>
      <c r="D434" s="2" t="n">
        <v>15007207.6</v>
      </c>
      <c r="E434" s="2">
        <f>N(D434)-N(C434)</f>
        <v/>
      </c>
      <c r="F434" s="3">
        <f>IF(N(C434)=0,"n/a",E434/C434)</f>
        <v/>
      </c>
      <c r="G434" t="inlineStr"/>
    </row>
    <row r="435">
      <c r="A435" t="inlineStr">
        <is>
          <t>EBS</t>
        </is>
      </c>
      <c r="B435" t="inlineStr">
        <is>
          <t>EMERGENT BIOSOLUTIONS</t>
        </is>
      </c>
      <c r="C435" s="2" t="n">
        <v>16444535.04</v>
      </c>
      <c r="D435" s="2" t="n">
        <v>9171294</v>
      </c>
      <c r="E435" s="2">
        <f>N(D435)-N(C435)</f>
        <v/>
      </c>
      <c r="F435" s="3">
        <f>IF(N(C435)=0,"n/a",E435/C435)</f>
        <v/>
      </c>
      <c r="G435" t="inlineStr"/>
    </row>
    <row r="436">
      <c r="A436" t="inlineStr">
        <is>
          <t>PHAT</t>
        </is>
      </c>
      <c r="B436" t="inlineStr">
        <is>
          <t>PHATHOM PHARMACEUTICALS</t>
        </is>
      </c>
      <c r="C436" s="2" t="n">
        <v>16723748.58</v>
      </c>
      <c r="D436" s="2" t="n">
        <v>9386449.5</v>
      </c>
      <c r="E436" s="2">
        <f>N(D436)-N(C436)</f>
        <v/>
      </c>
      <c r="F436" s="3">
        <f>IF(N(C436)=0,"n/a",E436/C436)</f>
        <v/>
      </c>
      <c r="G436" t="inlineStr"/>
    </row>
    <row r="437">
      <c r="A437" t="inlineStr">
        <is>
          <t>ALDX</t>
        </is>
      </c>
      <c r="B437" t="inlineStr">
        <is>
          <t>ALDEYRA THERAPEUTICS INC</t>
        </is>
      </c>
      <c r="C437" s="2" t="n">
        <v>7339407.32</v>
      </c>
      <c r="D437" s="2" t="n"/>
      <c r="E437" s="2">
        <f>N(D437)-N(C437)</f>
        <v/>
      </c>
      <c r="F437" s="3">
        <f>IF(N(C437)=0,"n/a",E437/C437)</f>
        <v/>
      </c>
      <c r="G437" t="inlineStr">
        <is>
          <t>제외(1/1에만 존재)</t>
        </is>
      </c>
    </row>
    <row r="438">
      <c r="A438" t="inlineStr">
        <is>
          <t>ARVN</t>
        </is>
      </c>
      <c r="B438" t="inlineStr">
        <is>
          <t>ARVINAS</t>
        </is>
      </c>
      <c r="C438" s="2" t="n">
        <v>19678230.6</v>
      </c>
      <c r="D438" s="2" t="n">
        <v>12052924.52</v>
      </c>
      <c r="E438" s="2">
        <f>N(D438)-N(C438)</f>
        <v/>
      </c>
      <c r="F438" s="3">
        <f>IF(N(C438)=0,"n/a",E438/C438)</f>
        <v/>
      </c>
      <c r="G438" t="inlineStr"/>
    </row>
    <row r="439">
      <c r="A439" t="inlineStr">
        <is>
          <t>PRVA</t>
        </is>
      </c>
      <c r="B439" t="inlineStr">
        <is>
          <t>PRIVIA HEALTH GROUP INC</t>
        </is>
      </c>
      <c r="C439" s="2" t="n">
        <v>69431249.63</v>
      </c>
      <c r="D439" s="2" t="n">
        <v>61272031.15</v>
      </c>
      <c r="E439" s="2">
        <f>N(D439)-N(C439)</f>
        <v/>
      </c>
      <c r="F439" s="3">
        <f>IF(N(C439)=0,"n/a",E439/C439)</f>
        <v/>
      </c>
      <c r="G439" t="inlineStr"/>
    </row>
    <row r="440">
      <c r="A440" t="inlineStr">
        <is>
          <t>TNDM</t>
        </is>
      </c>
      <c r="B440" t="inlineStr">
        <is>
          <t>TANDEM DIABETES CARE</t>
        </is>
      </c>
      <c r="C440" s="2" t="n">
        <v>37591316.98</v>
      </c>
      <c r="D440" s="2" t="n">
        <v>29422375.57</v>
      </c>
      <c r="E440" s="2">
        <f>N(D440)-N(C440)</f>
        <v/>
      </c>
      <c r="F440" s="3">
        <f>IF(N(C440)=0,"n/a",E440/C440)</f>
        <v/>
      </c>
      <c r="G440" t="inlineStr"/>
    </row>
    <row r="441">
      <c r="A441" t="inlineStr">
        <is>
          <t>NAGE</t>
        </is>
      </c>
      <c r="B441" t="inlineStr">
        <is>
          <t>NIAGEN BIOSCIENCE INC</t>
        </is>
      </c>
      <c r="C441" s="2" t="n">
        <v>8428233.84</v>
      </c>
      <c r="D441" s="2" t="n"/>
      <c r="E441" s="2">
        <f>N(D441)-N(C441)</f>
        <v/>
      </c>
      <c r="F441" s="3">
        <f>IF(N(C441)=0,"n/a",E441/C441)</f>
        <v/>
      </c>
      <c r="G441" t="inlineStr">
        <is>
          <t>제외(1/1에만 존재)</t>
        </is>
      </c>
    </row>
    <row r="442">
      <c r="A442" t="inlineStr">
        <is>
          <t>EMBC</t>
        </is>
      </c>
      <c r="B442" t="inlineStr">
        <is>
          <t>EMBECTA</t>
        </is>
      </c>
      <c r="C442" s="2" t="n">
        <v>17496412.56</v>
      </c>
      <c r="D442" s="2" t="n">
        <v>8993519.26</v>
      </c>
      <c r="E442" s="2">
        <f>N(D442)-N(C442)</f>
        <v/>
      </c>
      <c r="F442" s="3">
        <f>IF(N(C442)=0,"n/a",E442/C442)</f>
        <v/>
      </c>
      <c r="G442" t="inlineStr"/>
    </row>
    <row r="443">
      <c r="A443" t="inlineStr">
        <is>
          <t>LXEO</t>
        </is>
      </c>
      <c r="B443" t="inlineStr">
        <is>
          <t>LEXEO THERAPEUTICS</t>
        </is>
      </c>
      <c r="C443" s="2" t="n">
        <v>15513112.71</v>
      </c>
      <c r="D443" s="2" t="n">
        <v>6271143.84</v>
      </c>
      <c r="E443" s="2">
        <f>N(D443)-N(C443)</f>
        <v/>
      </c>
      <c r="F443" s="3">
        <f>IF(N(C443)=0,"n/a",E443/C443)</f>
        <v/>
      </c>
      <c r="G443" t="inlineStr"/>
    </row>
    <row r="444">
      <c r="A444" t="inlineStr">
        <is>
          <t>VRDN</t>
        </is>
      </c>
      <c r="B444" t="inlineStr">
        <is>
          <t>VIRIDIAN THERAPEUTICS ORS</t>
        </is>
      </c>
      <c r="C444" s="2" t="n">
        <v>62671790</v>
      </c>
      <c r="D444" s="2" t="n">
        <v>53329767.79</v>
      </c>
      <c r="E444" s="2">
        <f>N(D444)-N(C444)</f>
        <v/>
      </c>
      <c r="F444" s="3">
        <f>IF(N(C444)=0,"n/a",E444/C444)</f>
        <v/>
      </c>
      <c r="G444" t="inlineStr"/>
    </row>
    <row r="445">
      <c r="A445" t="inlineStr">
        <is>
          <t>KROS</t>
        </is>
      </c>
      <c r="B445" t="inlineStr">
        <is>
          <t>KEROS THERAPEUTICS</t>
        </is>
      </c>
      <c r="C445" s="2" t="n">
        <v>15048523.92</v>
      </c>
      <c r="D445" s="2" t="n">
        <v>5441185.8</v>
      </c>
      <c r="E445" s="2">
        <f>N(D445)-N(C445)</f>
        <v/>
      </c>
      <c r="F445" s="3">
        <f>IF(N(C445)=0,"n/a",E445/C445)</f>
        <v/>
      </c>
      <c r="G445" t="inlineStr"/>
    </row>
    <row r="446">
      <c r="A446" t="inlineStr">
        <is>
          <t>LAB</t>
        </is>
      </c>
      <c r="B446" t="inlineStr">
        <is>
          <t>STANDARD BIOTOOLS INC</t>
        </is>
      </c>
      <c r="C446" s="2" t="n">
        <v>9896194.560000001</v>
      </c>
      <c r="D446" s="2" t="n"/>
      <c r="E446" s="2">
        <f>N(D446)-N(C446)</f>
        <v/>
      </c>
      <c r="F446" s="3">
        <f>IF(N(C446)=0,"n/a",E446/C446)</f>
        <v/>
      </c>
      <c r="G446" t="inlineStr">
        <is>
          <t>제외(1/1에만 존재)</t>
        </is>
      </c>
    </row>
    <row r="447">
      <c r="A447" t="inlineStr">
        <is>
          <t>BBNX</t>
        </is>
      </c>
      <c r="B447" t="inlineStr">
        <is>
          <t>BETA BIONICS</t>
        </is>
      </c>
      <c r="C447" s="2" t="n">
        <v>29993174.97</v>
      </c>
      <c r="D447" s="2" t="n">
        <v>20028018.66</v>
      </c>
      <c r="E447" s="2">
        <f>N(D447)-N(C447)</f>
        <v/>
      </c>
      <c r="F447" s="3">
        <f>IF(N(C447)=0,"n/a",E447/C447)</f>
        <v/>
      </c>
      <c r="G447" t="inlineStr"/>
    </row>
    <row r="448">
      <c r="A448" t="inlineStr">
        <is>
          <t>PTCT</t>
        </is>
      </c>
      <c r="B448" t="inlineStr">
        <is>
          <t>PTC THERAPEUTICS</t>
        </is>
      </c>
      <c r="C448" s="2" t="n">
        <v>149033520</v>
      </c>
      <c r="D448" s="2" t="n">
        <v>138804948.14</v>
      </c>
      <c r="E448" s="2">
        <f>N(D448)-N(C448)</f>
        <v/>
      </c>
      <c r="F448" s="3">
        <f>IF(N(C448)=0,"n/a",E448/C448)</f>
        <v/>
      </c>
      <c r="G448" t="inlineStr"/>
    </row>
    <row r="449">
      <c r="A449" t="inlineStr">
        <is>
          <t>SPRY</t>
        </is>
      </c>
      <c r="B449" t="inlineStr">
        <is>
          <t>ARS PHARMACEUTICALS</t>
        </is>
      </c>
      <c r="C449" s="2" t="n">
        <v>17412392.9</v>
      </c>
      <c r="D449" s="2" t="n">
        <v>6968472.65</v>
      </c>
      <c r="E449" s="2">
        <f>N(D449)-N(C449)</f>
        <v/>
      </c>
      <c r="F449" s="3">
        <f>IF(N(C449)=0,"n/a",E449/C449)</f>
        <v/>
      </c>
      <c r="G449" t="inlineStr"/>
    </row>
    <row r="450">
      <c r="A450" t="inlineStr">
        <is>
          <t>PHR</t>
        </is>
      </c>
      <c r="B450" t="inlineStr">
        <is>
          <t>PHREESIA</t>
        </is>
      </c>
      <c r="C450" s="2" t="n">
        <v>24423326.28</v>
      </c>
      <c r="D450" s="2" t="n">
        <v>13721142.73</v>
      </c>
      <c r="E450" s="2">
        <f>N(D450)-N(C450)</f>
        <v/>
      </c>
      <c r="F450" s="3">
        <f>IF(N(C450)=0,"n/a",E450/C450)</f>
        <v/>
      </c>
      <c r="G450" t="inlineStr"/>
    </row>
    <row r="451">
      <c r="A451" t="inlineStr">
        <is>
          <t>AHCO</t>
        </is>
      </c>
      <c r="B451" t="inlineStr">
        <is>
          <t>ADAPTHEALTH</t>
        </is>
      </c>
      <c r="C451" s="2" t="n">
        <v>25819965.36</v>
      </c>
      <c r="D451" s="2" t="n">
        <v>14936389.44</v>
      </c>
      <c r="E451" s="2">
        <f>N(D451)-N(C451)</f>
        <v/>
      </c>
      <c r="F451" s="3">
        <f>IF(N(C451)=0,"n/a",E451/C451)</f>
        <v/>
      </c>
      <c r="G451" t="inlineStr"/>
    </row>
    <row r="452">
      <c r="A452" t="inlineStr">
        <is>
          <t>ENOV</t>
        </is>
      </c>
      <c r="B452" t="inlineStr">
        <is>
          <t>ENOVIS CORP</t>
        </is>
      </c>
      <c r="C452" s="2" t="n">
        <v>38326115.52</v>
      </c>
      <c r="D452" s="2" t="n">
        <v>27288857.61</v>
      </c>
      <c r="E452" s="2">
        <f>N(D452)-N(C452)</f>
        <v/>
      </c>
      <c r="F452" s="3">
        <f>IF(N(C452)=0,"n/a",E452/C452)</f>
        <v/>
      </c>
      <c r="G452" t="inlineStr"/>
    </row>
    <row r="453">
      <c r="A453" t="inlineStr">
        <is>
          <t>STAA</t>
        </is>
      </c>
      <c r="B453" t="inlineStr">
        <is>
          <t>STAAR SURGICAL</t>
        </is>
      </c>
      <c r="C453" s="2" t="n">
        <v>29079153.47</v>
      </c>
      <c r="D453" s="2" t="n">
        <v>17874516.38</v>
      </c>
      <c r="E453" s="2">
        <f>N(D453)-N(C453)</f>
        <v/>
      </c>
      <c r="F453" s="3">
        <f>IF(N(C453)=0,"n/a",E453/C453)</f>
        <v/>
      </c>
      <c r="G453" t="inlineStr"/>
    </row>
    <row r="454">
      <c r="A454" t="inlineStr">
        <is>
          <t>MNKD</t>
        </is>
      </c>
      <c r="B454" t="inlineStr">
        <is>
          <t>MANNKIND</t>
        </is>
      </c>
      <c r="C454" s="2" t="n">
        <v>43356840.03</v>
      </c>
      <c r="D454" s="2" t="n">
        <v>31933777.2</v>
      </c>
      <c r="E454" s="2">
        <f>N(D454)-N(C454)</f>
        <v/>
      </c>
      <c r="F454" s="3">
        <f>IF(N(C454)=0,"n/a",E454/C454)</f>
        <v/>
      </c>
      <c r="G454" t="inlineStr"/>
    </row>
    <row r="455">
      <c r="A455" t="inlineStr">
        <is>
          <t>EHAB</t>
        </is>
      </c>
      <c r="B455" t="inlineStr">
        <is>
          <t>ENHABIT INC</t>
        </is>
      </c>
      <c r="C455" s="2" t="n">
        <v>11593827.3</v>
      </c>
      <c r="D455" s="2" t="n"/>
      <c r="E455" s="2">
        <f>N(D455)-N(C455)</f>
        <v/>
      </c>
      <c r="F455" s="3">
        <f>IF(N(C455)=0,"n/a",E455/C455)</f>
        <v/>
      </c>
      <c r="G455" t="inlineStr">
        <is>
          <t>제외(1/1에만 존재)</t>
        </is>
      </c>
    </row>
    <row r="456">
      <c r="A456" t="inlineStr">
        <is>
          <t>OMCL</t>
        </is>
      </c>
      <c r="B456" t="inlineStr">
        <is>
          <t>OMNICELL INC</t>
        </is>
      </c>
      <c r="C456" s="2" t="n">
        <v>52454999.1</v>
      </c>
      <c r="D456" s="2" t="n">
        <v>40233922.65</v>
      </c>
      <c r="E456" s="2">
        <f>N(D456)-N(C456)</f>
        <v/>
      </c>
      <c r="F456" s="3">
        <f>IF(N(C456)=0,"n/a",E456/C456)</f>
        <v/>
      </c>
      <c r="G456" t="inlineStr"/>
    </row>
    <row r="457">
      <c r="A457" t="inlineStr">
        <is>
          <t>AVNS</t>
        </is>
      </c>
      <c r="B457" t="inlineStr">
        <is>
          <t>AVANOS MEDICAL INC</t>
        </is>
      </c>
      <c r="C457" s="2" t="n">
        <v>12424759.7</v>
      </c>
      <c r="D457" s="2" t="n"/>
      <c r="E457" s="2">
        <f>N(D457)-N(C457)</f>
        <v/>
      </c>
      <c r="F457" s="3">
        <f>IF(N(C457)=0,"n/a",E457/C457)</f>
        <v/>
      </c>
      <c r="G457" t="inlineStr">
        <is>
          <t>제외(1/1에만 존재)</t>
        </is>
      </c>
    </row>
    <row r="458">
      <c r="A458" t="inlineStr">
        <is>
          <t>HROW</t>
        </is>
      </c>
      <c r="B458" t="inlineStr">
        <is>
          <t>HARROW</t>
        </is>
      </c>
      <c r="C458" s="2" t="n">
        <v>39037173</v>
      </c>
      <c r="D458" s="2" t="n">
        <v>25773224.4</v>
      </c>
      <c r="E458" s="2">
        <f>N(D458)-N(C458)</f>
        <v/>
      </c>
      <c r="F458" s="3">
        <f>IF(N(C458)=0,"n/a",E458/C458)</f>
        <v/>
      </c>
      <c r="G458" t="inlineStr"/>
    </row>
    <row r="459">
      <c r="A459" t="inlineStr">
        <is>
          <t>TALK</t>
        </is>
      </c>
      <c r="B459" t="inlineStr">
        <is>
          <t>TALKSPACE INC</t>
        </is>
      </c>
      <c r="C459" s="2" t="n">
        <v>13279037.31</v>
      </c>
      <c r="D459" s="2" t="n"/>
      <c r="E459" s="2">
        <f>N(D459)-N(C459)</f>
        <v/>
      </c>
      <c r="F459" s="3">
        <f>IF(N(C459)=0,"n/a",E459/C459)</f>
        <v/>
      </c>
      <c r="G459" t="inlineStr">
        <is>
          <t>제외(1/1에만 존재)</t>
        </is>
      </c>
    </row>
    <row r="460">
      <c r="A460" t="inlineStr">
        <is>
          <t>ATXS</t>
        </is>
      </c>
      <c r="B460" t="inlineStr">
        <is>
          <t>ASTRIA THERAPEUTICS INC</t>
        </is>
      </c>
      <c r="C460" s="2" t="n">
        <v>13640604.67</v>
      </c>
      <c r="D460" s="2" t="n"/>
      <c r="E460" s="2">
        <f>N(D460)-N(C460)</f>
        <v/>
      </c>
      <c r="F460" s="3">
        <f>IF(N(C460)=0,"n/a",E460/C460)</f>
        <v/>
      </c>
      <c r="G460" t="inlineStr">
        <is>
          <t>제외(1/1에만 존재)</t>
        </is>
      </c>
    </row>
    <row r="461">
      <c r="A461" t="inlineStr">
        <is>
          <t>ARDX</t>
        </is>
      </c>
      <c r="B461" t="inlineStr">
        <is>
          <t>ARDELYX</t>
        </is>
      </c>
      <c r="C461" s="2" t="n">
        <v>35286873.71</v>
      </c>
      <c r="D461" s="2" t="n">
        <v>21539484.9</v>
      </c>
      <c r="E461" s="2">
        <f>N(D461)-N(C461)</f>
        <v/>
      </c>
      <c r="F461" s="3">
        <f>IF(N(C461)=0,"n/a",E461/C461)</f>
        <v/>
      </c>
      <c r="G461" t="inlineStr"/>
    </row>
    <row r="462">
      <c r="A462" t="inlineStr">
        <is>
          <t>SION</t>
        </is>
      </c>
      <c r="B462" t="inlineStr">
        <is>
          <t>SIONNA THERAPEUTICS</t>
        </is>
      </c>
      <c r="C462" s="2" t="n">
        <v>16540912.96</v>
      </c>
      <c r="D462" s="2" t="n">
        <v>2558595.5</v>
      </c>
      <c r="E462" s="2">
        <f>N(D462)-N(C462)</f>
        <v/>
      </c>
      <c r="F462" s="3">
        <f>IF(N(C462)=0,"n/a",E462/C462)</f>
        <v/>
      </c>
      <c r="G462" t="inlineStr"/>
    </row>
    <row r="463">
      <c r="A463" t="inlineStr">
        <is>
          <t>CMPX</t>
        </is>
      </c>
      <c r="B463" t="inlineStr">
        <is>
          <t>COMPASS THERAPEUTICS</t>
        </is>
      </c>
      <c r="C463" s="2" t="n">
        <v>17627959.38</v>
      </c>
      <c r="D463" s="2" t="n">
        <v>3615193.92</v>
      </c>
      <c r="E463" s="2">
        <f>N(D463)-N(C463)</f>
        <v/>
      </c>
      <c r="F463" s="3">
        <f>IF(N(C463)=0,"n/a",E463/C463)</f>
        <v/>
      </c>
      <c r="G463" t="inlineStr"/>
    </row>
    <row r="464">
      <c r="A464" t="inlineStr">
        <is>
          <t>OCUL</t>
        </is>
      </c>
      <c r="B464" t="inlineStr">
        <is>
          <t>OCULAR THERAPEUTIX</t>
        </is>
      </c>
      <c r="C464" s="2" t="n">
        <v>56963138.04</v>
      </c>
      <c r="D464" s="2" t="n">
        <v>42666077.74</v>
      </c>
      <c r="E464" s="2">
        <f>N(D464)-N(C464)</f>
        <v/>
      </c>
      <c r="F464" s="3">
        <f>IF(N(C464)=0,"n/a",E464/C464)</f>
        <v/>
      </c>
      <c r="G464" t="inlineStr"/>
    </row>
    <row r="465">
      <c r="A465" t="inlineStr">
        <is>
          <t>CAPR</t>
        </is>
      </c>
      <c r="B465" t="inlineStr">
        <is>
          <t>CAPRICOR THERAPEUTICS</t>
        </is>
      </c>
      <c r="C465" s="2" t="n">
        <v>28100577.96</v>
      </c>
      <c r="D465" s="2" t="n">
        <v>13332083.81</v>
      </c>
      <c r="E465" s="2">
        <f>N(D465)-N(C465)</f>
        <v/>
      </c>
      <c r="F465" s="3">
        <f>IF(N(C465)=0,"n/a",E465/C465)</f>
        <v/>
      </c>
      <c r="G465" t="inlineStr"/>
    </row>
    <row r="466">
      <c r="A466" t="inlineStr">
        <is>
          <t>GOSS</t>
        </is>
      </c>
      <c r="B466" t="inlineStr">
        <is>
          <t>GOSSAMER BIO INC</t>
        </is>
      </c>
      <c r="C466" s="2" t="n">
        <v>15129484.9</v>
      </c>
      <c r="D466" s="2" t="n"/>
      <c r="E466" s="2">
        <f>N(D466)-N(C466)</f>
        <v/>
      </c>
      <c r="F466" s="3">
        <f>IF(N(C466)=0,"n/a",E466/C466)</f>
        <v/>
      </c>
      <c r="G466" t="inlineStr">
        <is>
          <t>제외(1/1에만 존재)</t>
        </is>
      </c>
    </row>
    <row r="467">
      <c r="A467" t="inlineStr">
        <is>
          <t>KALV</t>
        </is>
      </c>
      <c r="B467" t="inlineStr">
        <is>
          <t>KALVISTA PHARMACEUTICALS INC</t>
        </is>
      </c>
      <c r="C467" s="2" t="n">
        <v>15421925.7</v>
      </c>
      <c r="D467" s="2" t="n"/>
      <c r="E467" s="2">
        <f>N(D467)-N(C467)</f>
        <v/>
      </c>
      <c r="F467" s="3">
        <f>IF(N(C467)=0,"n/a",E467/C467)</f>
        <v/>
      </c>
      <c r="G467" t="inlineStr">
        <is>
          <t>제외(1/1에만 존재)</t>
        </is>
      </c>
    </row>
    <row r="468">
      <c r="A468" t="inlineStr">
        <is>
          <t>PRCT</t>
        </is>
      </c>
      <c r="B468" t="inlineStr">
        <is>
          <t>PROCEPT BIOROBOTICS</t>
        </is>
      </c>
      <c r="C468" s="2" t="n">
        <v>42193208.2</v>
      </c>
      <c r="D468" s="2" t="n">
        <v>26384309.12</v>
      </c>
      <c r="E468" s="2">
        <f>N(D468)-N(C468)</f>
        <v/>
      </c>
      <c r="F468" s="3">
        <f>IF(N(C468)=0,"n/a",E468/C468)</f>
        <v/>
      </c>
      <c r="G468" t="inlineStr"/>
    </row>
    <row r="469">
      <c r="A469" t="inlineStr">
        <is>
          <t>ACAD</t>
        </is>
      </c>
      <c r="B469" t="inlineStr">
        <is>
          <t>ACADIA PHARMACEUTICALS</t>
        </is>
      </c>
      <c r="C469" s="2" t="n">
        <v>84026828.73999999</v>
      </c>
      <c r="D469" s="2" t="n">
        <v>67095993.9</v>
      </c>
      <c r="E469" s="2">
        <f>N(D469)-N(C469)</f>
        <v/>
      </c>
      <c r="F469" s="3">
        <f>IF(N(C469)=0,"n/a",E469/C469)</f>
        <v/>
      </c>
      <c r="G469" t="inlineStr"/>
    </row>
    <row r="470">
      <c r="A470" t="inlineStr">
        <is>
          <t>VERA</t>
        </is>
      </c>
      <c r="B470" t="inlineStr">
        <is>
          <t>VERA THERAPEUTICS CLASS A</t>
        </is>
      </c>
      <c r="C470" s="2" t="n">
        <v>71035158.72</v>
      </c>
      <c r="D470" s="2" t="n">
        <v>53433685.74</v>
      </c>
      <c r="E470" s="2">
        <f>N(D470)-N(C470)</f>
        <v/>
      </c>
      <c r="F470" s="3">
        <f>IF(N(C470)=0,"n/a",E470/C470)</f>
        <v/>
      </c>
      <c r="G470" t="inlineStr"/>
    </row>
    <row r="471">
      <c r="A471" t="inlineStr">
        <is>
          <t>UPB</t>
        </is>
      </c>
      <c r="B471" t="inlineStr">
        <is>
          <t>UPSTREAM BIO</t>
        </is>
      </c>
      <c r="C471" s="2" t="n">
        <v>22595506.05</v>
      </c>
      <c r="D471" s="2" t="n">
        <v>4878644.53</v>
      </c>
      <c r="E471" s="2">
        <f>N(D471)-N(C471)</f>
        <v/>
      </c>
      <c r="F471" s="3">
        <f>IF(N(C471)=0,"n/a",E471/C471)</f>
        <v/>
      </c>
      <c r="G471" t="inlineStr"/>
    </row>
    <row r="472">
      <c r="A472" t="inlineStr">
        <is>
          <t>WAY</t>
        </is>
      </c>
      <c r="B472" t="inlineStr">
        <is>
          <t>WAYSTAR HOLDING</t>
        </is>
      </c>
      <c r="C472" s="2" t="n">
        <v>91208881</v>
      </c>
      <c r="D472" s="2" t="n">
        <v>73440844.12</v>
      </c>
      <c r="E472" s="2">
        <f>N(D472)-N(C472)</f>
        <v/>
      </c>
      <c r="F472" s="3">
        <f>IF(N(C472)=0,"n/a",E472/C472)</f>
        <v/>
      </c>
      <c r="G472" t="inlineStr"/>
    </row>
    <row r="473">
      <c r="A473" t="inlineStr">
        <is>
          <t>TBPH</t>
        </is>
      </c>
      <c r="B473" t="inlineStr">
        <is>
          <t>THERAVANCE BIOPHARMA INC</t>
        </is>
      </c>
      <c r="C473" s="2" t="n">
        <v>18105910.23</v>
      </c>
      <c r="D473" s="2" t="n"/>
      <c r="E473" s="2">
        <f>N(D473)-N(C473)</f>
        <v/>
      </c>
      <c r="F473" s="3">
        <f>IF(N(C473)=0,"n/a",E473/C473)</f>
        <v/>
      </c>
      <c r="G473" t="inlineStr">
        <is>
          <t>제외(1/1에만 존재)</t>
        </is>
      </c>
    </row>
    <row r="474">
      <c r="A474" t="inlineStr">
        <is>
          <t>NUVB</t>
        </is>
      </c>
      <c r="B474" t="inlineStr">
        <is>
          <t>NUVATION BIO CLASS A</t>
        </is>
      </c>
      <c r="C474" s="2" t="n">
        <v>54760742.4</v>
      </c>
      <c r="D474" s="2" t="n">
        <v>36529763.2</v>
      </c>
      <c r="E474" s="2">
        <f>N(D474)-N(C474)</f>
        <v/>
      </c>
      <c r="F474" s="3">
        <f>IF(N(C474)=0,"n/a",E474/C474)</f>
        <v/>
      </c>
      <c r="G474" t="inlineStr"/>
    </row>
    <row r="475">
      <c r="A475" t="inlineStr">
        <is>
          <t>DAWN</t>
        </is>
      </c>
      <c r="B475" t="inlineStr">
        <is>
          <t>DAY ONE BIOPHARMACEUTICALS INC</t>
        </is>
      </c>
      <c r="C475" s="2" t="n">
        <v>18267367.76</v>
      </c>
      <c r="D475" s="2" t="n"/>
      <c r="E475" s="2">
        <f>N(D475)-N(C475)</f>
        <v/>
      </c>
      <c r="F475" s="3">
        <f>IF(N(C475)=0,"n/a",E475/C475)</f>
        <v/>
      </c>
      <c r="G475" t="inlineStr">
        <is>
          <t>제외(1/1에만 존재)</t>
        </is>
      </c>
    </row>
    <row r="476">
      <c r="A476" t="inlineStr">
        <is>
          <t>COLL</t>
        </is>
      </c>
      <c r="B476" t="inlineStr">
        <is>
          <t>COLLEGIUM PHARMACEUTICAL</t>
        </is>
      </c>
      <c r="C476" s="2" t="n">
        <v>36796369.4</v>
      </c>
      <c r="D476" s="2" t="n">
        <v>18512982.62</v>
      </c>
      <c r="E476" s="2">
        <f>N(D476)-N(C476)</f>
        <v/>
      </c>
      <c r="F476" s="3">
        <f>IF(N(C476)=0,"n/a",E476/C476)</f>
        <v/>
      </c>
      <c r="G476" t="inlineStr"/>
    </row>
    <row r="477">
      <c r="A477" t="inlineStr">
        <is>
          <t>PBH</t>
        </is>
      </c>
      <c r="B477" t="inlineStr">
        <is>
          <t>PRESTIGE CONSUMER HEALTHCARE</t>
        </is>
      </c>
      <c r="C477" s="2" t="n">
        <v>76817991.94</v>
      </c>
      <c r="D477" s="2" t="n">
        <v>56724126.36</v>
      </c>
      <c r="E477" s="2">
        <f>N(D477)-N(C477)</f>
        <v/>
      </c>
      <c r="F477" s="3">
        <f>IF(N(C477)=0,"n/a",E477/C477)</f>
        <v/>
      </c>
      <c r="G477" t="inlineStr"/>
    </row>
    <row r="478">
      <c r="A478" t="inlineStr">
        <is>
          <t>OLMA</t>
        </is>
      </c>
      <c r="B478" t="inlineStr">
        <is>
          <t>OLEMA PHARMACEUTICALS</t>
        </is>
      </c>
      <c r="C478" s="2" t="n">
        <v>37704025</v>
      </c>
      <c r="D478" s="2" t="n">
        <v>17544263.04</v>
      </c>
      <c r="E478" s="2">
        <f>N(D478)-N(C478)</f>
        <v/>
      </c>
      <c r="F478" s="3">
        <f>IF(N(C478)=0,"n/a",E478/C478)</f>
        <v/>
      </c>
      <c r="G478" t="inlineStr"/>
    </row>
    <row r="479">
      <c r="A479" t="inlineStr">
        <is>
          <t>AORT</t>
        </is>
      </c>
      <c r="B479" t="inlineStr">
        <is>
          <t>ARTIVION</t>
        </is>
      </c>
      <c r="C479" s="2" t="n">
        <v>48418025.26</v>
      </c>
      <c r="D479" s="2" t="n">
        <v>26943961.94</v>
      </c>
      <c r="E479" s="2">
        <f>N(D479)-N(C479)</f>
        <v/>
      </c>
      <c r="F479" s="3">
        <f>IF(N(C479)=0,"n/a",E479/C479)</f>
        <v/>
      </c>
      <c r="G479" t="inlineStr"/>
    </row>
    <row r="480">
      <c r="A480" t="inlineStr">
        <is>
          <t>ESPR</t>
        </is>
      </c>
      <c r="B480" t="inlineStr">
        <is>
          <t>ESPERION THERAPEUTICS INC</t>
        </is>
      </c>
      <c r="C480" s="2" t="n">
        <v>21798394.6</v>
      </c>
      <c r="D480" s="2" t="n"/>
      <c r="E480" s="2">
        <f>N(D480)-N(C480)</f>
        <v/>
      </c>
      <c r="F480" s="3">
        <f>IF(N(C480)=0,"n/a",E480/C480)</f>
        <v/>
      </c>
      <c r="G480" t="inlineStr">
        <is>
          <t>제외(1/1에만 존재)</t>
        </is>
      </c>
    </row>
    <row r="481">
      <c r="A481" t="inlineStr">
        <is>
          <t>WGS</t>
        </is>
      </c>
      <c r="B481" t="inlineStr">
        <is>
          <t>GENEDX HOLDINGS CLASS A</t>
        </is>
      </c>
      <c r="C481" s="2" t="n">
        <v>62544943.58</v>
      </c>
      <c r="D481" s="2" t="n">
        <v>37468390.5</v>
      </c>
      <c r="E481" s="2">
        <f>N(D481)-N(C481)</f>
        <v/>
      </c>
      <c r="F481" s="3">
        <f>IF(N(C481)=0,"n/a",E481/C481)</f>
        <v/>
      </c>
      <c r="G481" t="inlineStr"/>
    </row>
    <row r="482">
      <c r="A482" t="inlineStr">
        <is>
          <t>EYPT</t>
        </is>
      </c>
      <c r="B482" t="inlineStr">
        <is>
          <t>EYEPOINT INC</t>
        </is>
      </c>
      <c r="C482" s="2" t="n">
        <v>34744881.15</v>
      </c>
      <c r="D482" s="2" t="n">
        <v>6642599.52</v>
      </c>
      <c r="E482" s="2">
        <f>N(D482)-N(C482)</f>
        <v/>
      </c>
      <c r="F482" s="3">
        <f>IF(N(C482)=0,"n/a",E482/C482)</f>
        <v/>
      </c>
      <c r="G482" t="inlineStr"/>
    </row>
    <row r="483">
      <c r="A483" t="inlineStr">
        <is>
          <t>TMDX</t>
        </is>
      </c>
      <c r="B483" t="inlineStr">
        <is>
          <t>TRANSMEDICS GROUP</t>
        </is>
      </c>
      <c r="C483" s="2" t="n">
        <v>103161024.75</v>
      </c>
      <c r="D483" s="2" t="n">
        <v>73860176.34999999</v>
      </c>
      <c r="E483" s="2">
        <f>N(D483)-N(C483)</f>
        <v/>
      </c>
      <c r="F483" s="3">
        <f>IF(N(C483)=0,"n/a",E483/C483)</f>
        <v/>
      </c>
      <c r="G483" t="inlineStr"/>
    </row>
    <row r="484">
      <c r="A484" t="inlineStr">
        <is>
          <t>ATEC</t>
        </is>
      </c>
      <c r="B484" t="inlineStr">
        <is>
          <t>ALPHATEC HOLDNGS</t>
        </is>
      </c>
      <c r="C484" s="2" t="n">
        <v>62451432.96</v>
      </c>
      <c r="D484" s="2" t="n">
        <v>33008055.6</v>
      </c>
      <c r="E484" s="2">
        <f>N(D484)-N(C484)</f>
        <v/>
      </c>
      <c r="F484" s="3">
        <f>IF(N(C484)=0,"n/a",E484/C484)</f>
        <v/>
      </c>
      <c r="G484" t="inlineStr"/>
    </row>
    <row r="485">
      <c r="A485" t="inlineStr">
        <is>
          <t>QDEL</t>
        </is>
      </c>
      <c r="B485" t="inlineStr">
        <is>
          <t>QUIDELORTHO CORP</t>
        </is>
      </c>
      <c r="C485" s="2" t="n">
        <v>49033807.2</v>
      </c>
      <c r="D485" s="2" t="n">
        <v>19028273.06</v>
      </c>
      <c r="E485" s="2">
        <f>N(D485)-N(C485)</f>
        <v/>
      </c>
      <c r="F485" s="3">
        <f>IF(N(C485)=0,"n/a",E485/C485)</f>
        <v/>
      </c>
      <c r="G485" t="inlineStr"/>
    </row>
    <row r="486">
      <c r="A486" t="inlineStr">
        <is>
          <t>MNMD</t>
        </is>
      </c>
      <c r="B486" t="inlineStr">
        <is>
          <t>MIND MEDICINE SUBORDINATE VOTING I</t>
        </is>
      </c>
      <c r="C486" s="2" t="n">
        <v>31684810.56</v>
      </c>
      <c r="D486" s="2" t="n"/>
      <c r="E486" s="2">
        <f>N(D486)-N(C486)</f>
        <v/>
      </c>
      <c r="F486" s="3">
        <f>IF(N(C486)=0,"n/a",E486/C486)</f>
        <v/>
      </c>
      <c r="G486" t="inlineStr">
        <is>
          <t>제외(1/1에만 존재)</t>
        </is>
      </c>
    </row>
    <row r="487">
      <c r="A487" t="inlineStr">
        <is>
          <t>OPCH</t>
        </is>
      </c>
      <c r="B487" t="inlineStr">
        <is>
          <t>OPTION CARE HEALTH INC</t>
        </is>
      </c>
      <c r="C487" s="2" t="n">
        <v>128771652.42</v>
      </c>
      <c r="D487" s="2" t="n">
        <v>92946109.75</v>
      </c>
      <c r="E487" s="2">
        <f>N(D487)-N(C487)</f>
        <v/>
      </c>
      <c r="F487" s="3">
        <f>IF(N(C487)=0,"n/a",E487/C487)</f>
        <v/>
      </c>
      <c r="G487" t="inlineStr"/>
    </row>
    <row r="488">
      <c r="A488" t="inlineStr">
        <is>
          <t>WVE</t>
        </is>
      </c>
      <c r="B488" t="inlineStr">
        <is>
          <t>WAVE LIFE SCIENCES INC</t>
        </is>
      </c>
      <c r="C488" s="2" t="n">
        <v>49699330</v>
      </c>
      <c r="D488" s="2" t="n">
        <v>13382267.3</v>
      </c>
      <c r="E488" s="2">
        <f>N(D488)-N(C488)</f>
        <v/>
      </c>
      <c r="F488" s="3">
        <f>IF(N(C488)=0,"n/a",E488/C488)</f>
        <v/>
      </c>
      <c r="G488" t="inlineStr"/>
    </row>
    <row r="489">
      <c r="A489" t="inlineStr">
        <is>
          <t>DVAX</t>
        </is>
      </c>
      <c r="B489" t="inlineStr">
        <is>
          <t>DYNAVAX TECHNOLOGIES CORP</t>
        </is>
      </c>
      <c r="C489" s="2" t="n">
        <v>38951018.88</v>
      </c>
      <c r="D489" s="2" t="n"/>
      <c r="E489" s="2">
        <f>N(D489)-N(C489)</f>
        <v/>
      </c>
      <c r="F489" s="3">
        <f>IF(N(C489)=0,"n/a",E489/C489)</f>
        <v/>
      </c>
      <c r="G489" t="inlineStr">
        <is>
          <t>제외(1/1에만 존재)</t>
        </is>
      </c>
    </row>
    <row r="490">
      <c r="A490" t="inlineStr">
        <is>
          <t>SEM</t>
        </is>
      </c>
      <c r="B490" t="inlineStr">
        <is>
          <t>SELECT MEDICAL HOLDINGS CORP</t>
        </is>
      </c>
      <c r="C490" s="2" t="n">
        <v>40741851.15</v>
      </c>
      <c r="D490" s="2" t="n"/>
      <c r="E490" s="2">
        <f>N(D490)-N(C490)</f>
        <v/>
      </c>
      <c r="F490" s="3">
        <f>IF(N(C490)=0,"n/a",E490/C490)</f>
        <v/>
      </c>
      <c r="G490" t="inlineStr">
        <is>
          <t>제외(1/1에만 존재)</t>
        </is>
      </c>
    </row>
    <row r="491">
      <c r="A491" t="inlineStr">
        <is>
          <t>ALHC</t>
        </is>
      </c>
      <c r="B491" t="inlineStr">
        <is>
          <t>ALIGNMENT HEALTHCARE</t>
        </is>
      </c>
      <c r="C491" s="2" t="n">
        <v>84478215.5</v>
      </c>
      <c r="D491" s="2" t="n">
        <v>43055872.8</v>
      </c>
      <c r="E491" s="2">
        <f>N(D491)-N(C491)</f>
        <v/>
      </c>
      <c r="F491" s="3">
        <f>IF(N(C491)=0,"n/a",E491/C491)</f>
        <v/>
      </c>
      <c r="G491" t="inlineStr"/>
    </row>
    <row r="492">
      <c r="A492" t="inlineStr">
        <is>
          <t>IRTC</t>
        </is>
      </c>
      <c r="B492" t="inlineStr">
        <is>
          <t>IRHYTHM HOLDINGS INC</t>
        </is>
      </c>
      <c r="C492" s="2" t="n">
        <v>142966247.04</v>
      </c>
      <c r="D492" s="2" t="n">
        <v>97179186.34</v>
      </c>
      <c r="E492" s="2">
        <f>N(D492)-N(C492)</f>
        <v/>
      </c>
      <c r="F492" s="3">
        <f>IF(N(C492)=0,"n/a",E492/C492)</f>
        <v/>
      </c>
      <c r="G492" t="inlineStr"/>
    </row>
    <row r="493">
      <c r="A493" t="inlineStr">
        <is>
          <t>ADMA</t>
        </is>
      </c>
      <c r="B493" t="inlineStr">
        <is>
          <t>ADMA BIOLOGICS</t>
        </is>
      </c>
      <c r="C493" s="2" t="n">
        <v>106747867.2</v>
      </c>
      <c r="D493" s="2" t="n">
        <v>59808920.09</v>
      </c>
      <c r="E493" s="2">
        <f>N(D493)-N(C493)</f>
        <v/>
      </c>
      <c r="F493" s="3">
        <f>IF(N(C493)=0,"n/a",E493/C493)</f>
        <v/>
      </c>
      <c r="G493" t="inlineStr"/>
    </row>
    <row r="494">
      <c r="A494" t="inlineStr">
        <is>
          <t>AVDL</t>
        </is>
      </c>
      <c r="B494" t="inlineStr">
        <is>
          <t>AVADEL PHARMACEUTICALS ORD</t>
        </is>
      </c>
      <c r="C494" s="2" t="n">
        <v>48598913.5</v>
      </c>
      <c r="D494" s="2" t="n"/>
      <c r="E494" s="2">
        <f>N(D494)-N(C494)</f>
        <v/>
      </c>
      <c r="F494" s="3">
        <f>IF(N(C494)=0,"n/a",E494/C494)</f>
        <v/>
      </c>
      <c r="G494" t="inlineStr">
        <is>
          <t>제외(1/1에만 존재)</t>
        </is>
      </c>
    </row>
    <row r="495">
      <c r="A495" t="inlineStr">
        <is>
          <t>SLNO</t>
        </is>
      </c>
      <c r="B495" t="inlineStr">
        <is>
          <t>SOLENO THERAPEUTICS INC</t>
        </is>
      </c>
      <c r="C495" s="2" t="n">
        <v>54452411.4</v>
      </c>
      <c r="D495" s="2" t="n"/>
      <c r="E495" s="2">
        <f>N(D495)-N(C495)</f>
        <v/>
      </c>
      <c r="F495" s="3">
        <f>IF(N(C495)=0,"n/a",E495/C495)</f>
        <v/>
      </c>
      <c r="G495" t="inlineStr">
        <is>
          <t>제외(1/1에만 존재)</t>
        </is>
      </c>
    </row>
    <row r="496">
      <c r="A496" t="inlineStr">
        <is>
          <t>ACLX</t>
        </is>
      </c>
      <c r="B496" t="inlineStr">
        <is>
          <t>ARCELLX INC</t>
        </is>
      </c>
      <c r="C496" s="2" t="n">
        <v>56219612.8</v>
      </c>
      <c r="D496" s="2" t="n"/>
      <c r="E496" s="2">
        <f>N(D496)-N(C496)</f>
        <v/>
      </c>
      <c r="F496" s="3">
        <f>IF(N(C496)=0,"n/a",E496/C496)</f>
        <v/>
      </c>
      <c r="G496" t="inlineStr">
        <is>
          <t>제외(1/1에만 존재)</t>
        </is>
      </c>
    </row>
    <row r="497">
      <c r="A497" t="inlineStr">
        <is>
          <t>CPRX</t>
        </is>
      </c>
      <c r="B497" t="inlineStr">
        <is>
          <t>CATALYST PHARMACEUTICALS INC</t>
        </is>
      </c>
      <c r="C497" s="2" t="n">
        <v>68127966.23999999</v>
      </c>
      <c r="D497" s="2" t="n"/>
      <c r="E497" s="2">
        <f>N(D497)-N(C497)</f>
        <v/>
      </c>
      <c r="F497" s="3">
        <f>IF(N(C497)=0,"n/a",E497/C497)</f>
        <v/>
      </c>
      <c r="G497" t="inlineStr">
        <is>
          <t>제외(1/1에만 존재)</t>
        </is>
      </c>
    </row>
    <row r="498">
      <c r="A498" t="inlineStr">
        <is>
          <t>APGE</t>
        </is>
      </c>
      <c r="B498" t="inlineStr">
        <is>
          <t>APOGEE THERAPEUTICS INC</t>
        </is>
      </c>
      <c r="C498" s="2" t="n">
        <v>73447851.95999999</v>
      </c>
      <c r="D498" s="2" t="n"/>
      <c r="E498" s="2">
        <f>N(D498)-N(C498)</f>
        <v/>
      </c>
      <c r="F498" s="3">
        <f>IF(N(C498)=0,"n/a",E498/C498)</f>
        <v/>
      </c>
      <c r="G498" t="inlineStr">
        <is>
          <t>제외(1/1에만 존재)</t>
        </is>
      </c>
    </row>
    <row r="499">
      <c r="A499" t="inlineStr">
        <is>
          <t>TERN</t>
        </is>
      </c>
      <c r="B499" t="inlineStr">
        <is>
          <t>TERNS PHARMACEUTICALS INC</t>
        </is>
      </c>
      <c r="C499" s="2" t="n">
        <v>87646870.8</v>
      </c>
      <c r="D499" s="2" t="n"/>
      <c r="E499" s="2">
        <f>N(D499)-N(C499)</f>
        <v/>
      </c>
      <c r="F499" s="3">
        <f>IF(N(C499)=0,"n/a",E499/C499)</f>
        <v/>
      </c>
      <c r="G499" t="inlineStr">
        <is>
          <t>제외(1/1에만 존재)</t>
        </is>
      </c>
    </row>
    <row r="500">
      <c r="A500" t="inlineStr">
        <is>
          <t>CRNX</t>
        </is>
      </c>
      <c r="B500" t="inlineStr">
        <is>
          <t>CRINETICS PHARMACEUTICALS INC</t>
        </is>
      </c>
      <c r="C500" s="2" t="n">
        <v>106228962</v>
      </c>
      <c r="D500" s="2" t="n"/>
      <c r="E500" s="2">
        <f>N(D500)-N(C500)</f>
        <v/>
      </c>
      <c r="F500" s="3">
        <f>IF(N(C500)=0,"n/a",E500/C500)</f>
        <v/>
      </c>
      <c r="G500" t="inlineStr">
        <is>
          <t>제외(1/1에만 존재)</t>
        </is>
      </c>
    </row>
    <row r="501">
      <c r="A501" t="inlineStr">
        <is>
          <t>FOLD</t>
        </is>
      </c>
      <c r="B501" t="inlineStr">
        <is>
          <t>AMICUS THERAPEUTICS INC</t>
        </is>
      </c>
      <c r="C501" s="2" t="n">
        <v>106784364.48</v>
      </c>
      <c r="D501" s="2" t="n"/>
      <c r="E501" s="2">
        <f>N(D501)-N(C501)</f>
        <v/>
      </c>
      <c r="F501" s="3">
        <f>IF(N(C501)=0,"n/a",E501/C501)</f>
        <v/>
      </c>
      <c r="G501" t="inlineStr">
        <is>
          <t>제외(1/1에만 존재)</t>
        </is>
      </c>
    </row>
    <row r="502">
      <c r="A502" t="inlineStr">
        <is>
          <t>CDTX</t>
        </is>
      </c>
      <c r="B502" t="inlineStr">
        <is>
          <t>CIDARA THERAPEUTICS INC</t>
        </is>
      </c>
      <c r="C502" s="2" t="n">
        <v>109375450.62</v>
      </c>
      <c r="D502" s="2" t="n"/>
      <c r="E502" s="2">
        <f>N(D502)-N(C502)</f>
        <v/>
      </c>
      <c r="F502" s="3">
        <f>IF(N(C502)=0,"n/a",E502/C502)</f>
        <v/>
      </c>
      <c r="G502" t="inlineStr">
        <is>
          <t>제외(1/1에만 존재)</t>
        </is>
      </c>
    </row>
    <row r="503">
      <c r="A503" t="inlineStr">
        <is>
          <t>NUVL</t>
        </is>
      </c>
      <c r="B503" t="inlineStr">
        <is>
          <t>NUVALENT INC CLASS A</t>
        </is>
      </c>
      <c r="C503" s="2" t="n">
        <v>127082790.66</v>
      </c>
      <c r="D503" s="2" t="n"/>
      <c r="E503" s="2">
        <f>N(D503)-N(C503)</f>
        <v/>
      </c>
      <c r="F503" s="3">
        <f>IF(N(C503)=0,"n/a",E503/C503)</f>
        <v/>
      </c>
      <c r="G503" t="inlineStr">
        <is>
          <t>제외(1/1에만 존재)</t>
        </is>
      </c>
    </row>
    <row r="504">
      <c r="A504" t="inlineStr">
        <is>
          <t>AXSM</t>
        </is>
      </c>
      <c r="B504" t="inlineStr">
        <is>
          <t>AXSOME THERAPEUTICS INC</t>
        </is>
      </c>
      <c r="C504" s="2" t="n">
        <v>189268188.24</v>
      </c>
      <c r="D504" s="2" t="n"/>
      <c r="E504" s="2">
        <f>N(D504)-N(C504)</f>
        <v/>
      </c>
      <c r="F504" s="3">
        <f>IF(N(C504)=0,"n/a",E504/C504)</f>
        <v/>
      </c>
      <c r="G504" t="inlineStr">
        <is>
          <t>제외(1/1에만 존재)</t>
        </is>
      </c>
    </row>
    <row r="505">
      <c r="A505" t="inlineStr">
        <is>
          <t>RNA</t>
        </is>
      </c>
      <c r="B505" t="inlineStr">
        <is>
          <t>ATRIUM THERAPEUTICS INC</t>
        </is>
      </c>
      <c r="C505" s="2" t="n">
        <v>210739047.28</v>
      </c>
      <c r="D505" s="2" t="n">
        <v>3140256.24</v>
      </c>
      <c r="E505" s="2">
        <f>N(D505)-N(C505)</f>
        <v/>
      </c>
      <c r="F505" s="3">
        <f>IF(N(C505)=0,"n/a",E505/C505)</f>
        <v/>
      </c>
      <c r="G505" t="inlineStr"/>
    </row>
    <row r="506">
      <c r="A506" t="inlineStr">
        <is>
          <t>ARWR</t>
        </is>
      </c>
      <c r="B506" t="inlineStr">
        <is>
          <t>ARROWHEAD PHARMACEUTICALS INC</t>
        </is>
      </c>
      <c r="C506" s="2" t="n">
        <v>222365404.59</v>
      </c>
      <c r="D506" s="2" t="n"/>
      <c r="E506" s="2">
        <f>N(D506)-N(C506)</f>
        <v/>
      </c>
      <c r="F506" s="3">
        <f>IF(N(C506)=0,"n/a",E506/C506)</f>
        <v/>
      </c>
      <c r="G506" t="inlineStr">
        <is>
          <t>제외(1/1에만 존재)</t>
        </is>
      </c>
    </row>
    <row r="507">
      <c r="A507" t="inlineStr">
        <is>
          <t>ENSG</t>
        </is>
      </c>
      <c r="B507" t="inlineStr">
        <is>
          <t>ENSIGN GROUP INC</t>
        </is>
      </c>
      <c r="C507" s="2" t="n">
        <v>247227601.4</v>
      </c>
      <c r="D507" s="2" t="n"/>
      <c r="E507" s="2">
        <f>N(D507)-N(C507)</f>
        <v/>
      </c>
      <c r="F507" s="3">
        <f>IF(N(C507)=0,"n/a",E507/C507)</f>
        <v/>
      </c>
      <c r="G507" t="inlineStr">
        <is>
          <t>제외(1/1에만 존재)</t>
        </is>
      </c>
    </row>
    <row r="508">
      <c r="A508" t="inlineStr">
        <is>
          <t>MDGL</t>
        </is>
      </c>
      <c r="B508" t="inlineStr">
        <is>
          <t>MADRIGAL PHARMACEUTICALS INC</t>
        </is>
      </c>
      <c r="C508" s="2" t="n">
        <v>273411541.7</v>
      </c>
      <c r="D508" s="2" t="n"/>
      <c r="E508" s="2">
        <f>N(D508)-N(C508)</f>
        <v/>
      </c>
      <c r="F508" s="3">
        <f>IF(N(C508)=0,"n/a",E508/C508)</f>
        <v/>
      </c>
      <c r="G508" t="inlineStr">
        <is>
          <t>제외(1/1에만 존재)</t>
        </is>
      </c>
    </row>
    <row r="509">
      <c r="A509" t="inlineStr">
        <is>
          <t>BBIO</t>
        </is>
      </c>
      <c r="B509" t="inlineStr">
        <is>
          <t>BRIDGEBIO PHARMA INC</t>
        </is>
      </c>
      <c r="C509" s="2" t="n">
        <v>306761615.2</v>
      </c>
      <c r="D509" s="2" t="n"/>
      <c r="E509" s="2">
        <f>N(D509)-N(C509)</f>
        <v/>
      </c>
      <c r="F509" s="3">
        <f>IF(N(C509)=0,"n/a",E509/C509)</f>
        <v/>
      </c>
      <c r="G509" t="inlineStr">
        <is>
          <t>제외(1/1에만 존재)</t>
        </is>
      </c>
    </row>
    <row r="510">
      <c r="A510" t="inlineStr">
        <is>
          <t>GH</t>
        </is>
      </c>
      <c r="B510" t="inlineStr">
        <is>
          <t>GUARDANT HEALTH INC</t>
        </is>
      </c>
      <c r="C510" s="2" t="n">
        <v>313322927.62</v>
      </c>
      <c r="D510" s="2" t="n"/>
      <c r="E510" s="2">
        <f>N(D510)-N(C510)</f>
        <v/>
      </c>
      <c r="F510" s="3">
        <f>IF(N(C510)=0,"n/a",E510/C510)</f>
        <v/>
      </c>
      <c r="G510" t="inlineStr">
        <is>
          <t>제외(1/1에만 존재)</t>
        </is>
      </c>
    </row>
    <row r="511">
      <c r="A511" s="4" t="n"/>
      <c r="B511" s="4" t="inlineStr">
        <is>
          <t>합계</t>
        </is>
      </c>
      <c r="C511" s="5">
        <f>SUM(C2:C510)</f>
        <v/>
      </c>
      <c r="D511" s="5">
        <f>SUM(D2:D510)</f>
        <v/>
      </c>
      <c r="E511" s="5">
        <f>SUM(E2:E510)</f>
        <v/>
      </c>
      <c r="F511" s="6">
        <f>E511/C511</f>
        <v/>
      </c>
      <c r="G511" s="4" t="n"/>
    </row>
  </sheetData>
  <autoFilter ref="A1:G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2026-10-08T11:17:06Z</dcterms:created>
  <dcterms:modified xmlns:dcterms="http://purl.org/dc/terms/" xmlns:xsi="http://www.w3.org/2001/XMLSchema-instance" xsi:type="dcterms:W3CDTF">2026-10-08T11:17:06Z</dcterms:modified>
</cp:coreProperties>
</file>